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Z:\OI-2026\4. Registros OI-2026\"/>
    </mc:Choice>
  </mc:AlternateContent>
  <xr:revisionPtr revIDLastSave="0" documentId="13_ncr:1_{663769C2-0A02-4949-98A6-AD893960BAF7}" xr6:coauthVersionLast="47" xr6:coauthVersionMax="47" xr10:uidLastSave="{00000000-0000-0000-0000-000000000000}"/>
  <bookViews>
    <workbookView xWindow="-120" yWindow="-120" windowWidth="20730" windowHeight="11160" tabRatio="584" firstSheet="2" activeTab="2" xr2:uid="{00000000-000D-0000-FFFF-FFFF00000000}"/>
  </bookViews>
  <sheets>
    <sheet name="PAGO INSPECTOR(PI)" sheetId="3" state="hidden" r:id="rId1"/>
    <sheet name="Hoja1" sheetId="4" state="hidden" r:id="rId2"/>
    <sheet name="Gastos Operativos GO 2026" sheetId="13" r:id="rId3"/>
    <sheet name="Solicitud interna(SI)" sheetId="5" r:id="rId4"/>
    <sheet name="DEVOLUCION" sheetId="12" r:id="rId5"/>
    <sheet name="GO 2025" sheetId="2" r:id="rId6"/>
    <sheet name="SI 2025" sheetId="14" r:id="rId7"/>
    <sheet name="Hoja4" sheetId="15" r:id="rId8"/>
    <sheet name="Hoja3" sheetId="8" state="hidden" r:id="rId9"/>
    <sheet name="Hoja2" sheetId="6" state="hidden" r:id="rId10"/>
  </sheets>
  <definedNames>
    <definedName name="_xlnm._FilterDatabase" localSheetId="2" hidden="1">'Gastos Operativos GO 2026'!$A$1:$R$185</definedName>
    <definedName name="_xlnm._FilterDatabase" localSheetId="5" hidden="1">'GO 2025'!$A$1:$R$393</definedName>
    <definedName name="_xlnm._FilterDatabase" localSheetId="0" hidden="1">'PAGO INSPECTOR(PI)'!$B$1:$J$252</definedName>
    <definedName name="_xlnm._FilterDatabase" localSheetId="6" hidden="1">'SI 2025'!$A$1:$P$156</definedName>
    <definedName name="_xlnm._FilterDatabase" localSheetId="3" hidden="1">'Solicitud interna(SI)'!$A$1:$P$43</definedName>
    <definedName name="_xlnm.Print_Area" localSheetId="2">'Gastos Operativos GO 2026'!$A$1:$Q$185</definedName>
  </definedNames>
  <calcPr calcId="191029"/>
  <pivotCaches>
    <pivotCache cacheId="13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180" i="13" l="1"/>
  <c r="L180" i="13"/>
  <c r="O170" i="13"/>
  <c r="K179" i="13"/>
  <c r="J179" i="13"/>
  <c r="N179" i="13"/>
  <c r="O179" i="13" s="1"/>
  <c r="L29" i="5"/>
  <c r="L28" i="5"/>
  <c r="N178" i="13"/>
  <c r="O178" i="13" s="1"/>
  <c r="L178" i="13"/>
  <c r="N176" i="13"/>
  <c r="N177" i="13"/>
  <c r="O177" i="13" s="1"/>
  <c r="L175" i="13"/>
  <c r="N175" i="13" s="1"/>
  <c r="O175" i="13" s="1"/>
  <c r="N174" i="13"/>
  <c r="O174" i="13" s="1"/>
  <c r="L174" i="13"/>
  <c r="N173" i="13"/>
  <c r="O173" i="13" s="1"/>
  <c r="N171" i="13"/>
  <c r="O171" i="13" s="1"/>
  <c r="N172" i="13"/>
  <c r="O172" i="13" s="1"/>
  <c r="L172" i="13"/>
  <c r="L170" i="13"/>
  <c r="N169" i="13"/>
  <c r="O169" i="13" s="1"/>
  <c r="N168" i="13"/>
  <c r="O168" i="13" s="1"/>
  <c r="L168" i="13"/>
  <c r="N166" i="13"/>
  <c r="O166" i="13" s="1"/>
  <c r="N167" i="13"/>
  <c r="O167" i="13" s="1"/>
  <c r="N165" i="13"/>
  <c r="O165" i="13" s="1"/>
  <c r="N164" i="13"/>
  <c r="O164" i="13" s="1"/>
  <c r="N163" i="13"/>
  <c r="O163" i="13" s="1"/>
  <c r="N162" i="13"/>
  <c r="N161" i="13"/>
  <c r="O161" i="13" s="1"/>
  <c r="N160" i="13"/>
  <c r="O160" i="13" s="1"/>
  <c r="N159" i="13"/>
  <c r="O159" i="13" s="1"/>
  <c r="L27" i="5"/>
  <c r="N158" i="13"/>
  <c r="O158" i="13" s="1"/>
  <c r="N157" i="13"/>
  <c r="O157" i="13" s="1"/>
  <c r="N156" i="13"/>
  <c r="O156" i="13" s="1"/>
  <c r="L156" i="13"/>
  <c r="L26" i="5"/>
  <c r="N155" i="13"/>
  <c r="O155" i="13" s="1"/>
  <c r="N154" i="13"/>
  <c r="O154" i="13" s="1"/>
  <c r="N153" i="13"/>
  <c r="O153" i="13" s="1"/>
  <c r="L152" i="13"/>
  <c r="I152" i="13"/>
  <c r="N152" i="13" s="1"/>
  <c r="O152" i="13" s="1"/>
  <c r="N151" i="13"/>
  <c r="O151" i="13" s="1"/>
  <c r="N149" i="13"/>
  <c r="O149" i="13" s="1"/>
  <c r="N150" i="13"/>
  <c r="O150" i="13" s="1"/>
  <c r="J149" i="13"/>
  <c r="N148" i="13"/>
  <c r="O148" i="13" s="1"/>
  <c r="N147" i="13"/>
  <c r="O147" i="13" s="1"/>
  <c r="J147" i="13"/>
  <c r="N146" i="13"/>
  <c r="O146" i="13" s="1"/>
  <c r="N145" i="13"/>
  <c r="O145" i="13" s="1"/>
  <c r="L145" i="13"/>
  <c r="I145" i="13"/>
  <c r="N144" i="13"/>
  <c r="O144" i="13" s="1"/>
  <c r="N143" i="13"/>
  <c r="O143" i="13" s="1"/>
  <c r="L142" i="13"/>
  <c r="I142" i="13"/>
  <c r="N141" i="13"/>
  <c r="N140" i="13"/>
  <c r="J139" i="13"/>
  <c r="N138" i="13"/>
  <c r="J138" i="13"/>
  <c r="J136" i="13"/>
  <c r="J137" i="13"/>
  <c r="N137" i="13"/>
  <c r="N135" i="13"/>
  <c r="J135" i="13"/>
  <c r="N134" i="13"/>
  <c r="N133" i="13"/>
  <c r="O133" i="13" s="1"/>
  <c r="N132" i="13"/>
  <c r="O132" i="13" s="1"/>
  <c r="N131" i="13"/>
  <c r="O131" i="13" s="1"/>
  <c r="N130" i="13"/>
  <c r="N127" i="13"/>
  <c r="N128" i="13"/>
  <c r="N129" i="13"/>
  <c r="N126" i="13"/>
  <c r="N125" i="13"/>
  <c r="N124" i="13"/>
  <c r="J124" i="13"/>
  <c r="I124" i="13"/>
  <c r="N123" i="13"/>
  <c r="J123" i="13"/>
  <c r="L123" i="13"/>
  <c r="N122" i="13"/>
  <c r="N121" i="13"/>
  <c r="N120" i="13"/>
  <c r="K119" i="13"/>
  <c r="N119" i="13" s="1"/>
  <c r="N118" i="13"/>
  <c r="N117" i="13"/>
  <c r="N116" i="13"/>
  <c r="N115" i="13"/>
  <c r="N142" i="13" l="1"/>
  <c r="O142" i="13" s="1"/>
  <c r="N139" i="13"/>
  <c r="N136" i="13"/>
  <c r="N114" i="13"/>
  <c r="N113" i="13"/>
  <c r="N112" i="13" l="1"/>
  <c r="J112" i="13"/>
  <c r="N111" i="13"/>
  <c r="N110" i="13" l="1"/>
  <c r="N109" i="13"/>
  <c r="N108" i="13"/>
  <c r="J107" i="13"/>
  <c r="L107" i="13"/>
  <c r="M107" i="13"/>
  <c r="N105" i="13"/>
  <c r="N106" i="13"/>
  <c r="J104" i="13"/>
  <c r="N104" i="13" s="1"/>
  <c r="N103" i="13"/>
  <c r="M102" i="13"/>
  <c r="K102" i="13"/>
  <c r="N102" i="13" s="1"/>
  <c r="N101" i="13"/>
  <c r="N100" i="13"/>
  <c r="K99" i="13"/>
  <c r="N99" i="13"/>
  <c r="N107" i="13" l="1"/>
  <c r="N98" i="13"/>
  <c r="N96" i="13"/>
  <c r="N95" i="13"/>
  <c r="N94" i="13"/>
  <c r="N93" i="13" l="1"/>
  <c r="N92" i="13"/>
  <c r="N91" i="13"/>
  <c r="N89" i="13" l="1"/>
  <c r="N90" i="13"/>
  <c r="M82" i="13" l="1"/>
  <c r="L82" i="13"/>
  <c r="J82" i="13"/>
  <c r="M81" i="13"/>
  <c r="L81" i="13"/>
  <c r="J81" i="13"/>
  <c r="M88" i="13"/>
  <c r="L88" i="13"/>
  <c r="J88" i="13"/>
  <c r="N86" i="13"/>
  <c r="L87" i="13"/>
  <c r="J87" i="13"/>
  <c r="N88" i="13" l="1"/>
  <c r="N87" i="13"/>
  <c r="N85" i="13"/>
  <c r="M84" i="13"/>
  <c r="N84" i="13" s="1"/>
  <c r="N81" i="13"/>
  <c r="N82" i="13"/>
  <c r="N83" i="13"/>
  <c r="L73" i="13" l="1"/>
  <c r="J73" i="13"/>
  <c r="N80" i="13" l="1"/>
  <c r="N79" i="13"/>
  <c r="N77" i="13"/>
  <c r="N78" i="13"/>
  <c r="N76" i="13" l="1"/>
  <c r="N75" i="13"/>
  <c r="N74" i="13" l="1"/>
  <c r="N71" i="13" l="1"/>
  <c r="N73" i="13" l="1"/>
  <c r="N72" i="13"/>
  <c r="I70" i="13"/>
  <c r="N70" i="13" s="1"/>
  <c r="N69" i="13"/>
  <c r="N67" i="13" l="1"/>
  <c r="N68" i="13"/>
  <c r="N66" i="13"/>
  <c r="I65" i="13" l="1"/>
  <c r="N65" i="13" s="1"/>
  <c r="N64" i="13"/>
  <c r="N63" i="13" l="1"/>
  <c r="N61" i="13"/>
  <c r="N62" i="13"/>
  <c r="N60" i="13"/>
  <c r="N59" i="13" l="1"/>
  <c r="N58" i="13"/>
  <c r="N57" i="13"/>
  <c r="N48" i="13" l="1"/>
  <c r="N55" i="13" l="1"/>
  <c r="N54" i="13"/>
  <c r="N56" i="13"/>
  <c r="N53" i="13"/>
  <c r="N52" i="13"/>
  <c r="N51" i="13"/>
  <c r="L50" i="13"/>
  <c r="J50" i="13"/>
  <c r="L49" i="13"/>
  <c r="J49" i="13"/>
  <c r="N47" i="13"/>
  <c r="N46" i="13"/>
  <c r="N50" i="13" l="1"/>
  <c r="N49" i="13"/>
  <c r="L45" i="13"/>
  <c r="N45" i="13" l="1"/>
  <c r="N44" i="13" l="1"/>
  <c r="N43" i="13"/>
  <c r="N40" i="13"/>
  <c r="N41" i="13"/>
  <c r="N42" i="13"/>
  <c r="N39" i="13"/>
  <c r="N38" i="13"/>
  <c r="N34" i="13" l="1"/>
  <c r="N35" i="13"/>
  <c r="N36" i="13"/>
  <c r="N37" i="13"/>
  <c r="N32" i="13"/>
  <c r="N33" i="13"/>
  <c r="J30" i="13" l="1"/>
  <c r="L30" i="13"/>
  <c r="N31" i="13"/>
  <c r="M25" i="13"/>
  <c r="J25" i="13"/>
  <c r="N30" i="13" l="1"/>
  <c r="J27" i="13"/>
  <c r="L27" i="13"/>
  <c r="L25" i="13" l="1"/>
  <c r="N25" i="13"/>
  <c r="N26" i="13"/>
  <c r="N27" i="13"/>
  <c r="N29" i="13"/>
  <c r="N28" i="13" l="1"/>
  <c r="N24" i="13" l="1"/>
  <c r="N23" i="13" l="1"/>
  <c r="L22" i="13"/>
  <c r="J22" i="13"/>
  <c r="N21" i="13"/>
  <c r="N22" i="13"/>
  <c r="N19" i="13"/>
  <c r="N20" i="13"/>
  <c r="L18" i="13" l="1"/>
  <c r="J18" i="13"/>
  <c r="N18" i="13" s="1"/>
  <c r="L16" i="13"/>
  <c r="N16" i="13" l="1"/>
  <c r="N17" i="13"/>
  <c r="N15" i="13" l="1"/>
  <c r="N13" i="13"/>
  <c r="N14" i="13"/>
  <c r="N10" i="13"/>
  <c r="N11" i="13"/>
  <c r="N12" i="13"/>
  <c r="N5" i="13"/>
  <c r="N6" i="13"/>
  <c r="N9" i="13"/>
  <c r="M110" i="14"/>
  <c r="M109" i="14"/>
  <c r="M108" i="14"/>
  <c r="M107" i="14"/>
  <c r="M106" i="14"/>
  <c r="M105" i="14"/>
  <c r="M104" i="14"/>
  <c r="M102" i="14"/>
  <c r="L101" i="14"/>
  <c r="L100" i="14"/>
  <c r="L99" i="14"/>
  <c r="L98" i="14"/>
  <c r="L97" i="14"/>
  <c r="M96" i="14"/>
  <c r="M95" i="14"/>
  <c r="L94" i="14"/>
  <c r="L93" i="14"/>
  <c r="L92" i="14"/>
  <c r="L91" i="14"/>
  <c r="L89" i="14"/>
  <c r="L88" i="14"/>
  <c r="L87" i="14"/>
  <c r="L86" i="14"/>
  <c r="L85" i="14"/>
  <c r="L84" i="14"/>
  <c r="L83" i="14"/>
  <c r="L82" i="14"/>
  <c r="L81" i="14"/>
  <c r="L80" i="14"/>
  <c r="L79" i="14"/>
  <c r="L77" i="14"/>
  <c r="L75" i="14"/>
  <c r="L74" i="14"/>
  <c r="L70" i="14"/>
  <c r="L69" i="14"/>
  <c r="L68" i="14"/>
  <c r="L67" i="14"/>
  <c r="L66" i="14"/>
  <c r="L65" i="14"/>
  <c r="L63" i="14"/>
  <c r="L62" i="14"/>
  <c r="L59" i="14"/>
  <c r="L57" i="14"/>
  <c r="L56" i="14"/>
  <c r="L55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36" i="14"/>
  <c r="L31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2" i="14"/>
  <c r="L11" i="14"/>
  <c r="L10" i="14"/>
  <c r="L9" i="14"/>
  <c r="L8" i="14"/>
  <c r="L7" i="14"/>
  <c r="L6" i="14"/>
  <c r="L5" i="14"/>
  <c r="L4" i="14"/>
  <c r="L3" i="14"/>
  <c r="L2" i="14"/>
  <c r="N3" i="13"/>
  <c r="N4" i="13"/>
  <c r="N2" i="13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7" i="2"/>
  <c r="N79" i="2"/>
  <c r="N80" i="2"/>
  <c r="N81" i="2"/>
  <c r="N82" i="2"/>
  <c r="N83" i="2"/>
  <c r="N84" i="2"/>
  <c r="N85" i="2"/>
  <c r="N86" i="2"/>
  <c r="N87" i="2"/>
  <c r="N88" i="2"/>
  <c r="R88" i="2" s="1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4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8" i="2"/>
  <c r="N149" i="2"/>
  <c r="N151" i="2"/>
  <c r="N152" i="2"/>
  <c r="N153" i="2"/>
  <c r="N154" i="2"/>
  <c r="N155" i="2"/>
  <c r="N156" i="2"/>
  <c r="N157" i="2"/>
  <c r="N158" i="2"/>
  <c r="N160" i="2"/>
  <c r="N161" i="2"/>
  <c r="N162" i="2"/>
  <c r="N165" i="2"/>
  <c r="N166" i="2"/>
  <c r="N168" i="2"/>
  <c r="N172" i="2"/>
  <c r="N176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5" i="2"/>
  <c r="N197" i="2"/>
  <c r="N198" i="2"/>
  <c r="N199" i="2"/>
  <c r="N201" i="2"/>
  <c r="N202" i="2"/>
  <c r="N203" i="2"/>
  <c r="N204" i="2"/>
  <c r="N205" i="2"/>
  <c r="N206" i="2"/>
  <c r="N207" i="2"/>
  <c r="N208" i="2"/>
  <c r="N209" i="2"/>
  <c r="N210" i="2"/>
  <c r="N211" i="2"/>
  <c r="N213" i="2"/>
  <c r="N214" i="2"/>
  <c r="N215" i="2"/>
  <c r="N216" i="2"/>
  <c r="N217" i="2"/>
  <c r="N218" i="2"/>
  <c r="N219" i="2"/>
  <c r="N220" i="2"/>
  <c r="N222" i="2"/>
  <c r="N223" i="2"/>
  <c r="N224" i="2"/>
  <c r="N225" i="2"/>
  <c r="N226" i="2"/>
  <c r="N227" i="2"/>
  <c r="N228" i="2"/>
  <c r="N230" i="2"/>
  <c r="N231" i="2"/>
  <c r="N232" i="2"/>
  <c r="N233" i="2"/>
  <c r="N234" i="2"/>
  <c r="N235" i="2"/>
  <c r="N237" i="2"/>
  <c r="N238" i="2"/>
  <c r="N239" i="2"/>
  <c r="N240" i="2"/>
  <c r="N241" i="2"/>
  <c r="N242" i="2"/>
  <c r="N243" i="2"/>
  <c r="N244" i="2"/>
  <c r="N245" i="2"/>
  <c r="N246" i="2"/>
  <c r="N247" i="2"/>
  <c r="N249" i="2"/>
  <c r="N250" i="2"/>
  <c r="N251" i="2"/>
  <c r="N253" i="2"/>
  <c r="N256" i="2"/>
  <c r="N257" i="2"/>
  <c r="N258" i="2"/>
  <c r="N259" i="2"/>
  <c r="N261" i="2"/>
  <c r="N262" i="2"/>
  <c r="N263" i="2"/>
  <c r="N264" i="2"/>
  <c r="N265" i="2"/>
  <c r="N266" i="2"/>
  <c r="N267" i="2"/>
  <c r="N268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R113" i="2"/>
  <c r="R148" i="2"/>
  <c r="N393" i="2"/>
  <c r="N7" i="13" l="1"/>
  <c r="N8" i="13"/>
  <c r="E12" i="12"/>
  <c r="I17" i="3" l="1"/>
  <c r="I1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P16" authorId="0" shapeId="0" xr:uid="{A893B67E-B680-4422-A387-20F801C6F2ED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samuel 117 y junior 13</t>
        </r>
      </text>
    </comment>
    <comment ref="P18" authorId="0" shapeId="0" xr:uid="{791A51FE-F8E7-4955-A42C-ADBA4003834C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samuel 118  y junior 187.20</t>
        </r>
      </text>
    </comment>
    <comment ref="P19" authorId="0" shapeId="0" xr:uid="{92E3F79F-7E83-4500-99DA-0D8248549AED}">
      <text>
        <r>
          <rPr>
            <b/>
            <sz val="9"/>
            <color indexed="81"/>
            <rFont val="Tahoma"/>
            <family val="2"/>
          </rPr>
          <t>USUARIO: ERNESTO</t>
        </r>
      </text>
    </comment>
    <comment ref="P20" authorId="0" shapeId="0" xr:uid="{1553DFC8-E393-4939-9E19-FA88121CD1E6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TITO BENITES</t>
        </r>
      </text>
    </comment>
    <comment ref="P21" authorId="0" shapeId="0" xr:uid="{D80F9CE1-0849-4417-B82B-55C7CC4236DF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SAMUEL 185 LECHE</t>
        </r>
      </text>
    </comment>
    <comment ref="P22" authorId="0" shapeId="0" xr:uid="{A6117F94-8D3D-420A-A4AE-037ACB222309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IVAN 129, JIMMY 18.5</t>
        </r>
      </text>
    </comment>
    <comment ref="P24" authorId="0" shapeId="0" xr:uid="{7AFA5891-A4B3-441D-9BFA-32284D21380B}">
      <text>
        <r>
          <rPr>
            <b/>
            <sz val="9"/>
            <color indexed="81"/>
            <rFont val="Tahoma"/>
            <family val="2"/>
          </rPr>
          <t>USUARIO: ERNESTO</t>
        </r>
      </text>
    </comment>
    <comment ref="P25" authorId="0" shapeId="0" xr:uid="{C29EE8E6-AD6B-46FB-89DC-64D1552021C4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SAMUEL 130, OSCAR 125</t>
        </r>
      </text>
    </comment>
    <comment ref="P26" authorId="0" shapeId="0" xr:uid="{8071B948-15CC-42E8-A804-D88EFA07CCE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OSCAR 155</t>
        </r>
      </text>
    </comment>
    <comment ref="P27" authorId="0" shapeId="0" xr:uid="{672D8E1A-CC6A-49E6-A107-A31E60D3238A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OSCAR 125</t>
        </r>
      </text>
    </comment>
    <comment ref="P28" authorId="0" shapeId="0" xr:uid="{42A46381-4989-4C4C-8FD2-182FBEB9E8A4}">
      <text>
        <r>
          <rPr>
            <b/>
            <sz val="9"/>
            <color indexed="81"/>
            <rFont val="Tahoma"/>
            <family val="2"/>
          </rPr>
          <t>USUARIO: ERNESTO</t>
        </r>
      </text>
    </comment>
    <comment ref="P29" authorId="0" shapeId="0" xr:uid="{0F090435-D418-47C8-B238-69AA5DFA305B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TITO BENITES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tc={ECB99C81-CD6D-4E99-A37D-97402E63B259}</author>
  </authors>
  <commentList>
    <comment ref="E4" authorId="0" shapeId="0" xr:uid="{ECB99C81-CD6D-4E99-A37D-97402E63B2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EDGAR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tc={B91B728F-FB61-4283-94BC-66A71347ECBF}</author>
    <author>tc={1D8FB6B6-ECCC-47AA-88F3-44C5D635DEF6}</author>
    <author>tc={9ACD4568-356C-428B-90B0-5621DCC020F9}</author>
    <author>tc={1A3BAB82-6AD9-4260-9DD6-D44564C58E90}</author>
    <author>tc={43EDFC74-BEE1-40BC-A70C-4EDADD06CFFF}</author>
    <author>tc={1E97FC29-D62F-41F3-B6E3-00F78AD5A02A}</author>
    <author>tc={696474B6-317F-48C7-A001-D927143C2B52}</author>
    <author>tc={2329852A-C612-4692-93C0-3FE6594CD19C}</author>
    <author>tc={1E6CD96F-1A60-4BB4-B726-71ED5D3757C8}</author>
    <author>tc={8F882060-BE94-4A70-8C68-EEDA5DC6EB0D}</author>
    <author>tc={7780E461-69AF-44C2-AD28-244E9766844D}</author>
    <author>tc={54FA59EF-21EF-4BC3-9048-F695EE16CD0C}</author>
    <author>tc={65D8C64D-0F2E-45C1-9FEC-37FB7D0CD512}</author>
    <author>tc={8E58ABEB-D1CA-4BAF-BAB8-2490D1D871B7}</author>
    <author>tc={5E979B0C-45D4-4A7C-89EE-B04D9DC12CA1}</author>
    <author>tc={1ABD4D5A-A5DA-469D-83D5-3C5B229663F2}</author>
    <author>tc={B40CD1BF-CD22-4AFE-9CDB-6C84D0AD7491}</author>
    <author>tc={644F57C4-A988-47FC-9616-ED379CEB2B35}</author>
    <author>tc={8F4FC48B-2491-4896-8581-EC5204506CC5}</author>
    <author>tc={C9F8F566-198D-429F-8628-4142C480948D}</author>
    <author>tc={2E089EE3-BED3-4BCB-A242-88818824429A}</author>
    <author>tc={6F2DECE5-CF20-4BAF-A756-F2B0E2908D75}</author>
    <author>tc={8EC873FD-0C7E-4195-B006-AB986F6A953E}</author>
    <author>tc={1233269F-E82C-435A-A030-D94FBFCD3A36}</author>
    <author>tc={34904FEC-1467-4CAE-ABB2-C48C0D44EEB5}</author>
    <author>INSPECTOR</author>
  </authors>
  <commentList>
    <comment ref="P22" authorId="0" shapeId="0" xr:uid="{6BC435F1-9086-4A45-BAD9-2E23C0B556B2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I. PIZARRO: s/. 400
J. TABOADA: s/.658
</t>
        </r>
      </text>
    </comment>
    <comment ref="P26" authorId="0" shapeId="0" xr:uid="{8EA5F3E5-0850-49D6-B858-219C8C7DE46B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JUNIOR NIMA</t>
        </r>
      </text>
    </comment>
    <comment ref="P27" authorId="0" shapeId="0" xr:uid="{AD0E6962-7CE5-4879-817C-138C7DE2DBCF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FREE: EDU QUISPE</t>
        </r>
      </text>
    </comment>
    <comment ref="P46" authorId="0" shapeId="0" xr:uid="{5E64FA9E-0EE7-4342-A5EC-413C4ED41F4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FREE EDU QUISPE
</t>
        </r>
      </text>
    </comment>
    <comment ref="P50" authorId="0" shapeId="0" xr:uid="{A704AE42-B776-41F5-9959-42B431FD3102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FREE: EDUARDO
</t>
        </r>
      </text>
    </comment>
    <comment ref="Q59" authorId="0" shapeId="0" xr:uid="{A95CC653-C108-4C8B-AA99-99DD648C761A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COMPLETO EN DOS PARTE 300 Y 200
</t>
        </r>
      </text>
    </comment>
    <comment ref="O90" authorId="1" shapeId="0" xr:uid="{B91B728F-FB61-4283-94BC-66A71347ECB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canceló servicio</t>
      </text>
    </comment>
    <comment ref="N215" authorId="2" shapeId="0" xr:uid="{1D8FB6B6-ECCC-47AA-88F3-44C5D635DE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OSCAR FREE</t>
      </text>
    </comment>
    <comment ref="N217" authorId="3" shapeId="0" xr:uid="{9ACD4568-356C-428B-90B0-5621DCC020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OSCAR FREE</t>
      </text>
    </comment>
    <comment ref="N220" authorId="4" shapeId="0" xr:uid="{1A3BAB82-6AD9-4260-9DD6-D44564C58E9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OSCAR FREE
</t>
      </text>
    </comment>
    <comment ref="N221" authorId="5" shapeId="0" xr:uid="{43EDFC74-BEE1-40BC-A70C-4EDADD06CFF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Oscar free
</t>
      </text>
    </comment>
    <comment ref="N222" authorId="6" shapeId="0" xr:uid="{1E97FC29-D62F-41F3-B6E3-00F78AD5A02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FREE AREQUIPA</t>
      </text>
    </comment>
    <comment ref="N223" authorId="7" shapeId="0" xr:uid="{696474B6-317F-48C7-A001-D927143C2B5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OSCAR FREE</t>
      </text>
    </comment>
    <comment ref="N224" authorId="8" shapeId="0" xr:uid="{2329852A-C612-4692-93C0-3FE6594CD19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AREQUIA FREE-OSCAR</t>
      </text>
    </comment>
    <comment ref="N227" authorId="9" shapeId="0" xr:uid="{1E6CD96F-1A60-4BB4-B726-71ED5D3757C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Edgar rendira</t>
      </text>
    </comment>
    <comment ref="N232" authorId="10" shapeId="0" xr:uid="{8F882060-BE94-4A70-8C68-EEDA5DC6EB0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OSCAR FREE</t>
      </text>
    </comment>
    <comment ref="N235" authorId="11" shapeId="0" xr:uid="{7780E461-69AF-44C2-AD28-244E9766844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Oscar free</t>
      </text>
    </comment>
    <comment ref="N239" authorId="12" shapeId="0" xr:uid="{54FA59EF-21EF-4BC3-9048-F695EE16CD0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se realizo servicio</t>
      </text>
    </comment>
    <comment ref="N241" authorId="13" shapeId="0" xr:uid="{65D8C64D-0F2E-45C1-9FEC-37FB7D0CD51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Eduardo guzman</t>
      </text>
    </comment>
    <comment ref="N242" authorId="14" shapeId="0" xr:uid="{8E58ABEB-D1CA-4BAF-BAB8-2490D1D871B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OSCAR AGUILAR
</t>
      </text>
    </comment>
    <comment ref="N243" authorId="15" shapeId="0" xr:uid="{5E979B0C-45D4-4A7C-89EE-B04D9DC12CA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EDUARDO GUZMAN
</t>
      </text>
    </comment>
    <comment ref="N245" authorId="16" shapeId="0" xr:uid="{1ABD4D5A-A5DA-469D-83D5-3C5B229663F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OSCAR FREE</t>
      </text>
    </comment>
    <comment ref="P249" authorId="17" shapeId="0" xr:uid="{B40CD1BF-CD22-4AFE-9CDB-6C84D0AD749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OSCAR AGUILAR</t>
      </text>
    </comment>
    <comment ref="N257" authorId="18" shapeId="0" xr:uid="{644F57C4-A988-47FC-9616-ED379CEB2B3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Joven de pichanaki</t>
      </text>
    </comment>
    <comment ref="B260" authorId="19" shapeId="0" xr:uid="{8F4FC48B-2491-4896-8581-EC5204506CC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Desde aca se coloca unidad de negocio</t>
      </text>
    </comment>
    <comment ref="P264" authorId="20" shapeId="0" xr:uid="{C9F8F566-198D-429F-8628-4142C480948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OSCAR AGUILAR</t>
      </text>
    </comment>
    <comment ref="P268" authorId="21" shapeId="0" xr:uid="{2E089EE3-BED3-4BCB-A242-88818824429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OSCAR AGUILAR</t>
      </text>
    </comment>
    <comment ref="P270" authorId="22" shapeId="0" xr:uid="{6F2DECE5-CF20-4BAF-A756-F2B0E2908D7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F.L (WILSON CHAMORRO)</t>
      </text>
    </comment>
    <comment ref="P273" authorId="23" shapeId="0" xr:uid="{8EC873FD-0C7E-4195-B006-AB986F6A953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INSP. PICHANAQUI</t>
      </text>
    </comment>
    <comment ref="P279" authorId="24" shapeId="0" xr:uid="{1233269F-E82C-435A-A030-D94FBFCD3A3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OSCAR AGUILAR</t>
      </text>
    </comment>
    <comment ref="P282" authorId="25" shapeId="0" xr:uid="{34904FEC-1467-4CAE-ABB2-C48C0D44EEB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OSCAR AGUILAR</t>
      </text>
    </comment>
    <comment ref="P318" authorId="26" shapeId="0" xr:uid="{1EE95A85-DA67-4E07-A33E-3021FEB66641}">
      <text>
        <r>
          <rPr>
            <b/>
            <sz val="9"/>
            <color indexed="81"/>
            <rFont val="Tahoma"/>
            <family val="2"/>
          </rPr>
          <t>INSPECTOR:</t>
        </r>
        <r>
          <rPr>
            <sz val="9"/>
            <color indexed="81"/>
            <rFont val="Tahoma"/>
            <family val="2"/>
          </rPr>
          <t xml:space="preserve">
SIMON ROSALES SANDOVAL</t>
        </r>
      </text>
    </comment>
    <comment ref="P321" authorId="26" shapeId="0" xr:uid="{19D95C77-D88B-49B0-B4A3-D582126F660A}">
      <text>
        <r>
          <rPr>
            <b/>
            <sz val="9"/>
            <color indexed="81"/>
            <rFont val="Tahoma"/>
            <family val="2"/>
          </rPr>
          <t>INSPECTOR:</t>
        </r>
        <r>
          <rPr>
            <sz val="9"/>
            <color indexed="81"/>
            <rFont val="Tahoma"/>
            <family val="2"/>
          </rPr>
          <t xml:space="preserve">
SIMON ROSALES SANDOVAL</t>
        </r>
      </text>
    </comment>
    <comment ref="P323" authorId="26" shapeId="0" xr:uid="{096A20F5-41E8-44AE-AE28-E0F61A3938F7}">
      <text>
        <r>
          <rPr>
            <b/>
            <sz val="9"/>
            <color indexed="81"/>
            <rFont val="Tahoma"/>
            <family val="2"/>
          </rPr>
          <t>INSPECTOR:</t>
        </r>
        <r>
          <rPr>
            <sz val="9"/>
            <color indexed="81"/>
            <rFont val="Tahoma"/>
            <family val="2"/>
          </rPr>
          <t xml:space="preserve">
SIMON ROSALES SANDOVAL</t>
        </r>
      </text>
    </comment>
    <comment ref="P324" authorId="0" shapeId="0" xr:uid="{F895BF16-4E98-4466-AC2F-3DB9C7CB45E1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FREELANCE</t>
        </r>
      </text>
    </comment>
    <comment ref="P340" authorId="0" shapeId="0" xr:uid="{BCE39922-1B13-48AD-8829-C149D27DD00B}">
      <text>
        <r>
          <rPr>
            <b/>
            <sz val="9"/>
            <color indexed="81"/>
            <rFont val="Tahoma"/>
            <family val="2"/>
          </rPr>
          <t>USUARIO: GO-339 (S/289)</t>
        </r>
        <r>
          <rPr>
            <sz val="9"/>
            <color indexed="81"/>
            <rFont val="Tahoma"/>
            <family val="2"/>
          </rPr>
          <t xml:space="preserve">
IVAN S/210 JUNIOR S/34 EDGAR S/45</t>
        </r>
      </text>
    </comment>
    <comment ref="P344" authorId="0" shapeId="0" xr:uid="{F2D1AFD4-76B9-478D-8009-1FF478CB83AB}">
      <text>
        <r>
          <rPr>
            <b/>
            <sz val="9"/>
            <color indexed="81"/>
            <rFont val="Tahoma"/>
            <family val="2"/>
          </rPr>
          <t>FREE: Alex Sanchez</t>
        </r>
      </text>
    </comment>
    <comment ref="P346" authorId="0" shapeId="0" xr:uid="{3656E2D0-8357-4004-9995-9BBC96AD018B}">
      <text>
        <r>
          <rPr>
            <b/>
            <sz val="9"/>
            <color indexed="81"/>
            <rFont val="Tahoma"/>
            <family val="2"/>
          </rPr>
          <t>USUARIO: OSCAR AGUILAR</t>
        </r>
      </text>
    </comment>
    <comment ref="P350" authorId="0" shapeId="0" xr:uid="{05BD768D-3094-4587-B286-328AC45A5F50}">
      <text>
        <r>
          <rPr>
            <b/>
            <sz val="9"/>
            <color indexed="81"/>
            <rFont val="Tahoma"/>
            <family val="2"/>
          </rPr>
          <t>USUARIO: OSCAR AGUILAR</t>
        </r>
      </text>
    </comment>
    <comment ref="P354" authorId="0" shapeId="0" xr:uid="{F7435F69-2E2C-4992-BFD7-70101CFA153C}">
      <text>
        <r>
          <rPr>
            <b/>
            <sz val="9"/>
            <color indexed="81"/>
            <rFont val="Tahoma"/>
            <family val="2"/>
          </rPr>
          <t>USUARIO: SAMUEL PALOMINO</t>
        </r>
      </text>
    </comment>
    <comment ref="P358" authorId="0" shapeId="0" xr:uid="{4F334AE2-FA4D-4A4C-8CAC-3267BD8A88F9}">
      <text>
        <r>
          <rPr>
            <b/>
            <sz val="9"/>
            <color indexed="81"/>
            <rFont val="Tahoma"/>
            <family val="2"/>
          </rPr>
          <t>USUARIO: SAMUEL PALOMINO</t>
        </r>
      </text>
    </comment>
    <comment ref="P379" authorId="0" shapeId="0" xr:uid="{60FCC75C-92B6-49DF-980F-B549EE29D277}">
      <text>
        <r>
          <rPr>
            <b/>
            <sz val="9"/>
            <color indexed="81"/>
            <rFont val="Tahoma"/>
            <family val="2"/>
          </rPr>
          <t>USUARIO:SAMUEL</t>
        </r>
      </text>
    </comment>
    <comment ref="P380" authorId="0" shapeId="0" xr:uid="{E744971A-F56F-4B63-BB30-D13CD0B68631}">
      <text>
        <r>
          <rPr>
            <b/>
            <sz val="9"/>
            <color indexed="81"/>
            <rFont val="Tahoma"/>
            <family val="2"/>
          </rPr>
          <t>USUARIO:HENRRY S/260 y JUNIOR S/170</t>
        </r>
      </text>
    </comment>
    <comment ref="P381" authorId="0" shapeId="0" xr:uid="{AD087FD3-BC79-4F70-9195-A460B2F81FBB}">
      <text>
        <r>
          <rPr>
            <b/>
            <sz val="9"/>
            <color indexed="81"/>
            <rFont val="Tahoma"/>
            <family val="2"/>
          </rPr>
          <t>USUARIO: HENRY</t>
        </r>
      </text>
    </comment>
    <comment ref="P382" authorId="0" shapeId="0" xr:uid="{45B7DA23-73C8-4221-926B-3B97DBB9B81E}">
      <text>
        <r>
          <rPr>
            <b/>
            <sz val="9"/>
            <color indexed="81"/>
            <rFont val="Tahoma"/>
            <family val="2"/>
          </rPr>
          <t>USUARIO: samuel</t>
        </r>
      </text>
    </comment>
    <comment ref="P383" authorId="0" shapeId="0" xr:uid="{B0C3BE4F-F257-4F67-A468-A2B97F2C135E}">
      <text>
        <r>
          <rPr>
            <b/>
            <sz val="9"/>
            <color indexed="81"/>
            <rFont val="Tahoma"/>
            <family val="2"/>
          </rPr>
          <t>USUARIO: samuel</t>
        </r>
      </text>
    </comment>
    <comment ref="P390" authorId="0" shapeId="0" xr:uid="{4AFA2037-A44D-407C-B90D-E4E87A6F8206}">
      <text>
        <r>
          <rPr>
            <b/>
            <sz val="9"/>
            <color indexed="81"/>
            <rFont val="Tahoma"/>
            <family val="2"/>
          </rPr>
          <t>USUARIO: samuel</t>
        </r>
      </text>
    </comment>
    <comment ref="P391" authorId="0" shapeId="0" xr:uid="{6E8A16D5-5DB4-4698-AD00-7470AD7233DF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AMIGO CHANAVA</t>
        </r>
      </text>
    </comment>
    <comment ref="E401" authorId="0" shapeId="0" xr:uid="{3DB79953-950C-4C72-B15D-87E500C20190}">
      <text>
        <r>
          <rPr>
            <b/>
            <sz val="9"/>
            <color indexed="81"/>
            <rFont val="Tahoma"/>
            <family val="2"/>
          </rPr>
          <t>USUARIO: samuel</t>
        </r>
      </text>
    </comment>
    <comment ref="E402" authorId="0" shapeId="0" xr:uid="{0F97906C-3E44-4636-BF71-8D7E15A3775C}">
      <text>
        <r>
          <rPr>
            <b/>
            <sz val="9"/>
            <color indexed="81"/>
            <rFont val="Tahoma"/>
            <family val="2"/>
          </rPr>
          <t>USUARIO: samuel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tc={35D41575-F8AB-49F7-9B9A-16C3AADE2ACA}</author>
  </authors>
  <commentList>
    <comment ref="M67" authorId="0" shapeId="0" xr:uid="{35D41575-F8AB-49F7-9B9A-16C3AADE2AC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PREGUNTAR SI SE ENTREGO A CONTABILIDAD</t>
      </text>
    </comment>
  </commentList>
</comments>
</file>

<file path=xl/sharedStrings.xml><?xml version="1.0" encoding="utf-8"?>
<sst xmlns="http://schemas.openxmlformats.org/spreadsheetml/2006/main" count="7409" uniqueCount="2038">
  <si>
    <t>Deposito realizado a la cuenta de:</t>
  </si>
  <si>
    <t>Cliente</t>
  </si>
  <si>
    <t>Movilidad</t>
  </si>
  <si>
    <t>TOTAL</t>
  </si>
  <si>
    <t>4694/2020</t>
  </si>
  <si>
    <t>BRAULIO GOMEZ</t>
  </si>
  <si>
    <t>ANA ARTAZA</t>
  </si>
  <si>
    <t>EDUARDO SALAS</t>
  </si>
  <si>
    <t>DEIVID QUICHIZ</t>
  </si>
  <si>
    <t>MIGUEL BEDOYA</t>
  </si>
  <si>
    <t>5097/2020</t>
  </si>
  <si>
    <t>EDUARDO ZAPATA</t>
  </si>
  <si>
    <t>JULIO DIAZ</t>
  </si>
  <si>
    <t>295/2021</t>
  </si>
  <si>
    <t>CMA/2021</t>
  </si>
  <si>
    <t>TIPO
M: muestreo
R: recojo muestra
E: embarque</t>
  </si>
  <si>
    <t>FECHA DE SERVICIO</t>
  </si>
  <si>
    <t>MES</t>
  </si>
  <si>
    <t>Unidad de negocio</t>
  </si>
  <si>
    <t>Pasajes</t>
  </si>
  <si>
    <t>envio  de materiales  y muestras</t>
  </si>
  <si>
    <t>viaticos</t>
  </si>
  <si>
    <t>GO total solicitado</t>
  </si>
  <si>
    <t>GO REAL</t>
  </si>
  <si>
    <t>DEPOSITO</t>
  </si>
  <si>
    <t>ENERO</t>
  </si>
  <si>
    <t>PESCA</t>
  </si>
  <si>
    <t>AMBIENTAL</t>
  </si>
  <si>
    <t>ABRIL</t>
  </si>
  <si>
    <t>FEBRERO</t>
  </si>
  <si>
    <t>JUNIO</t>
  </si>
  <si>
    <t>MARZO</t>
  </si>
  <si>
    <t>MAYO</t>
  </si>
  <si>
    <t>AGROALIMENTOS</t>
  </si>
  <si>
    <t>LICITACIONES</t>
  </si>
  <si>
    <t>01</t>
  </si>
  <si>
    <t>124, 125</t>
  </si>
  <si>
    <t>293, 294</t>
  </si>
  <si>
    <t>09</t>
  </si>
  <si>
    <t>CERTIFICACIONES</t>
  </si>
  <si>
    <t>JULIO</t>
  </si>
  <si>
    <t>AGOSTO</t>
  </si>
  <si>
    <t>SEPTIEMBRE</t>
  </si>
  <si>
    <t>OCTUBRE</t>
  </si>
  <si>
    <t>NOVIEMBRE</t>
  </si>
  <si>
    <t>DICIEMBRE</t>
  </si>
  <si>
    <t>DEL ….AL</t>
  </si>
  <si>
    <t>SEMANA</t>
  </si>
  <si>
    <t>FECHA SERVICIO</t>
  </si>
  <si>
    <t>INSPECTOR</t>
  </si>
  <si>
    <t>LINEA NEGOCIO</t>
  </si>
  <si>
    <t>N° RECIBO X HONORARIOS</t>
  </si>
  <si>
    <t>TOTAL SEMANA</t>
  </si>
  <si>
    <t>FECHA DE PAGO</t>
  </si>
  <si>
    <t>4 AL 9 ENERO</t>
  </si>
  <si>
    <t>04-01-2021</t>
  </si>
  <si>
    <t>E001-172</t>
  </si>
  <si>
    <t>08-01-2021</t>
  </si>
  <si>
    <t>E001-173</t>
  </si>
  <si>
    <t>Suma de TOTAL</t>
  </si>
  <si>
    <t>05-01-2021</t>
  </si>
  <si>
    <t>E001-174</t>
  </si>
  <si>
    <t>05</t>
  </si>
  <si>
    <t>06</t>
  </si>
  <si>
    <t>07</t>
  </si>
  <si>
    <t>08</t>
  </si>
  <si>
    <t>E001-286</t>
  </si>
  <si>
    <t>ALEX RIMARACHIN</t>
  </si>
  <si>
    <t>07-01-2021</t>
  </si>
  <si>
    <t>E001-287</t>
  </si>
  <si>
    <t>E001-288</t>
  </si>
  <si>
    <t>E001-289</t>
  </si>
  <si>
    <t>E001-45</t>
  </si>
  <si>
    <t>E001-46</t>
  </si>
  <si>
    <t>E001-44</t>
  </si>
  <si>
    <t>E001-88</t>
  </si>
  <si>
    <t>E001-187</t>
  </si>
  <si>
    <t>06 AL 09-01-2021</t>
  </si>
  <si>
    <t>DANNA GUZMAN</t>
  </si>
  <si>
    <t>4306/2020</t>
  </si>
  <si>
    <t>CRIDER</t>
  </si>
  <si>
    <t>E001-48</t>
  </si>
  <si>
    <t>05 AL 09-01-2021</t>
  </si>
  <si>
    <t>JUAN PINILLOS</t>
  </si>
  <si>
    <t> 4306/2020</t>
  </si>
  <si>
    <t>E001-53</t>
  </si>
  <si>
    <t>LUIS GONZALES</t>
  </si>
  <si>
    <t>E001-12</t>
  </si>
  <si>
    <t>FRANCO FLORES</t>
  </si>
  <si>
    <t>E001-56</t>
  </si>
  <si>
    <t>11 AL 16 ENERO</t>
  </si>
  <si>
    <t>02</t>
  </si>
  <si>
    <t>11-01-2021</t>
  </si>
  <si>
    <t>E001-175</t>
  </si>
  <si>
    <t>E001-21</t>
  </si>
  <si>
    <t>12-01-2021</t>
  </si>
  <si>
    <t>E001-176</t>
  </si>
  <si>
    <t>13-01-2021</t>
  </si>
  <si>
    <t>E001-90</t>
  </si>
  <si>
    <t>E001-177</t>
  </si>
  <si>
    <t>E001-58</t>
  </si>
  <si>
    <t>E001-29</t>
  </si>
  <si>
    <t>E001-290</t>
  </si>
  <si>
    <t>14-01-2021</t>
  </si>
  <si>
    <t>E001-178</t>
  </si>
  <si>
    <t>E001-291</t>
  </si>
  <si>
    <t>E001-16</t>
  </si>
  <si>
    <t>15-01-2021</t>
  </si>
  <si>
    <t>E001-293</t>
  </si>
  <si>
    <t>E001-179</t>
  </si>
  <si>
    <t>E001-30</t>
  </si>
  <si>
    <t>E001-17</t>
  </si>
  <si>
    <t>E001-292</t>
  </si>
  <si>
    <t>E001-188</t>
  </si>
  <si>
    <t>16-01-2021</t>
  </si>
  <si>
    <t>E001-18</t>
  </si>
  <si>
    <t>E001-62</t>
  </si>
  <si>
    <t xml:space="preserve"> E001-31</t>
  </si>
  <si>
    <t>11, 13, 16-01-2021</t>
  </si>
  <si>
    <t>E001-49</t>
  </si>
  <si>
    <t>E001-54</t>
  </si>
  <si>
    <t>E001-13</t>
  </si>
  <si>
    <t>11, 14, 15-01-2021</t>
  </si>
  <si>
    <t>E001-57</t>
  </si>
  <si>
    <t>11 AL 16-01-2021</t>
  </si>
  <si>
    <t>RENATO ZUMAETA</t>
  </si>
  <si>
    <t>3806/2020</t>
  </si>
  <si>
    <t>BAKERTILLY</t>
  </si>
  <si>
    <t>E001-7</t>
  </si>
  <si>
    <t>JHONNY SALDAÑA</t>
  </si>
  <si>
    <t>E001-1</t>
  </si>
  <si>
    <t>16, 17-11-2020</t>
  </si>
  <si>
    <t>3806/2021</t>
  </si>
  <si>
    <t>E001-2</t>
  </si>
  <si>
    <t>KEVIN VARGAS</t>
  </si>
  <si>
    <t>E001-25</t>
  </si>
  <si>
    <t>12, 13-01-2021</t>
  </si>
  <si>
    <t>E001-15</t>
  </si>
  <si>
    <t>18 AL 23 ENERO</t>
  </si>
  <si>
    <t>03</t>
  </si>
  <si>
    <t>18-01-2021</t>
  </si>
  <si>
    <t>E001-294</t>
  </si>
  <si>
    <t>E001-189</t>
  </si>
  <si>
    <t>19-01-2021</t>
  </si>
  <si>
    <t>E001-295</t>
  </si>
  <si>
    <t>E001-180</t>
  </si>
  <si>
    <t>20-01-2021</t>
  </si>
  <si>
    <t>E001-296</t>
  </si>
  <si>
    <t>21-01-2021</t>
  </si>
  <si>
    <t>E001-91</t>
  </si>
  <si>
    <t>228, 229</t>
  </si>
  <si>
    <t>E001-181</t>
  </si>
  <si>
    <t>22-01-2021</t>
  </si>
  <si>
    <t>E001-182</t>
  </si>
  <si>
    <t>441, 442</t>
  </si>
  <si>
    <t>E001-299</t>
  </si>
  <si>
    <t>23-01-2021</t>
  </si>
  <si>
    <t>E001-183</t>
  </si>
  <si>
    <t>E001-19</t>
  </si>
  <si>
    <t>E001-27</t>
  </si>
  <si>
    <t>JOSE JIMENEZ</t>
  </si>
  <si>
    <t>E001-10</t>
  </si>
  <si>
    <t>E001-64</t>
  </si>
  <si>
    <t>E001-32</t>
  </si>
  <si>
    <t>E001-63</t>
  </si>
  <si>
    <t>E001-23</t>
  </si>
  <si>
    <t>18 AL 23-01-2021</t>
  </si>
  <si>
    <t>E001-50</t>
  </si>
  <si>
    <t>E001-55</t>
  </si>
  <si>
    <t>20 AL 23-01-2021</t>
  </si>
  <si>
    <t>E001-60</t>
  </si>
  <si>
    <t>19 AL 21-01-2021</t>
  </si>
  <si>
    <t>E001-8</t>
  </si>
  <si>
    <t>E001-3</t>
  </si>
  <si>
    <t>E001-33</t>
  </si>
  <si>
    <t>20, 21-01-2021</t>
  </si>
  <si>
    <t>E001-11</t>
  </si>
  <si>
    <t>25 AL 30 ENERO</t>
  </si>
  <si>
    <t>04</t>
  </si>
  <si>
    <t>E001-186</t>
  </si>
  <si>
    <t>E001-300</t>
  </si>
  <si>
    <t>E001-34</t>
  </si>
  <si>
    <t>RONALD VERASTEGUI</t>
  </si>
  <si>
    <t>18, 19, 20</t>
  </si>
  <si>
    <t>E001-301</t>
  </si>
  <si>
    <t>E001-302</t>
  </si>
  <si>
    <t>E001-92</t>
  </si>
  <si>
    <t>28-01-2021</t>
  </si>
  <si>
    <t>E001-24</t>
  </si>
  <si>
    <t>E001-303</t>
  </si>
  <si>
    <t>E001-93</t>
  </si>
  <si>
    <t>29-01-2021</t>
  </si>
  <si>
    <t>E001-43</t>
  </si>
  <si>
    <t>E001-66</t>
  </si>
  <si>
    <t>3713/2020</t>
  </si>
  <si>
    <t>E001-35</t>
  </si>
  <si>
    <t>4765/2020</t>
  </si>
  <si>
    <t>E001-304</t>
  </si>
  <si>
    <t>LOURDES CHARA</t>
  </si>
  <si>
    <t>E001-26</t>
  </si>
  <si>
    <t>E001-41</t>
  </si>
  <si>
    <t>PAT TANTAHUILLCA</t>
  </si>
  <si>
    <t>3647/2020</t>
  </si>
  <si>
    <t>E001-99</t>
  </si>
  <si>
    <t>25 AL 28-01-2021</t>
  </si>
  <si>
    <t>E001-52</t>
  </si>
  <si>
    <t>26 AL 30 ENERO</t>
  </si>
  <si>
    <t>25 AL 30-01-2021</t>
  </si>
  <si>
    <t>27 AL 30 ENERO</t>
  </si>
  <si>
    <t>28 AL 30 ENERO</t>
  </si>
  <si>
    <t>E001-65</t>
  </si>
  <si>
    <t>01 AL 06 FEBRERO</t>
  </si>
  <si>
    <t>E001-190</t>
  </si>
  <si>
    <t>E001-191</t>
  </si>
  <si>
    <t>1 AL 06 FEBRERO</t>
  </si>
  <si>
    <t>E001-307</t>
  </si>
  <si>
    <t>E001-306</t>
  </si>
  <si>
    <t>E001-28</t>
  </si>
  <si>
    <t>E001-37</t>
  </si>
  <si>
    <t>E001-192</t>
  </si>
  <si>
    <t>E001-193</t>
  </si>
  <si>
    <t xml:space="preserve"> SERVICIOS DE CONDUCTOR</t>
  </si>
  <si>
    <t>E001-14</t>
  </si>
  <si>
    <t>E001-38</t>
  </si>
  <si>
    <t>E001-194</t>
  </si>
  <si>
    <t>E001-4</t>
  </si>
  <si>
    <t>______</t>
  </si>
  <si>
    <t>E001-305</t>
  </si>
  <si>
    <t>HUGO CAMPOS</t>
  </si>
  <si>
    <t>4127/2020</t>
  </si>
  <si>
    <t>01 AL 06/02/2021</t>
  </si>
  <si>
    <t>E001-67</t>
  </si>
  <si>
    <t>MANUEL PINILLOS</t>
  </si>
  <si>
    <t>04, 05/02/2021</t>
  </si>
  <si>
    <t>MARCOS CADILLO</t>
  </si>
  <si>
    <t>02 AL 06/02/2021</t>
  </si>
  <si>
    <t>E001-9</t>
  </si>
  <si>
    <t>GUDMAN BLAS</t>
  </si>
  <si>
    <t>RONY CENTENO</t>
  </si>
  <si>
    <t>E001-36</t>
  </si>
  <si>
    <t>08 AL 13 FEBRERO</t>
  </si>
  <si>
    <t>E001-308</t>
  </si>
  <si>
    <t>584, 672</t>
  </si>
  <si>
    <t>E001-94</t>
  </si>
  <si>
    <t>8 AL 13 FEBRERO</t>
  </si>
  <si>
    <t>E001-309</t>
  </si>
  <si>
    <t>520, 521, 522, 704</t>
  </si>
  <si>
    <t>E001-39</t>
  </si>
  <si>
    <t>E001-5</t>
  </si>
  <si>
    <t>E001-310</t>
  </si>
  <si>
    <t>E001-195</t>
  </si>
  <si>
    <t>E001-6</t>
  </si>
  <si>
    <t>E001-311</t>
  </si>
  <si>
    <t>E001-312</t>
  </si>
  <si>
    <t>E001-196</t>
  </si>
  <si>
    <t>E001-197</t>
  </si>
  <si>
    <t>E001-40</t>
  </si>
  <si>
    <t>E001-313</t>
  </si>
  <si>
    <t>E001-314</t>
  </si>
  <si>
    <t>INDUCCION SIMA - CALLAO</t>
  </si>
  <si>
    <t>E001-315</t>
  </si>
  <si>
    <t>08 AL 13/02/2021</t>
  </si>
  <si>
    <t>E001-68</t>
  </si>
  <si>
    <t>09, 10/02/2021</t>
  </si>
  <si>
    <t>08 AL 10/02/2021</t>
  </si>
  <si>
    <t>08, 09/02/2021</t>
  </si>
  <si>
    <t>15 AL 20 FEBRERO</t>
  </si>
  <si>
    <t>E001-198</t>
  </si>
  <si>
    <t>E001-316</t>
  </si>
  <si>
    <t>SMITH CHAVEZ</t>
  </si>
  <si>
    <t>940, 941</t>
  </si>
  <si>
    <t>E001-317</t>
  </si>
  <si>
    <t>E001-199</t>
  </si>
  <si>
    <t>E001-95</t>
  </si>
  <si>
    <t>1053, 1054</t>
  </si>
  <si>
    <t>E001-318</t>
  </si>
  <si>
    <t>E001-69</t>
  </si>
  <si>
    <t>E001-200</t>
  </si>
  <si>
    <t>1055, 1056</t>
  </si>
  <si>
    <t>E001-70</t>
  </si>
  <si>
    <t>E001-319</t>
  </si>
  <si>
    <t>E001-201</t>
  </si>
  <si>
    <t>E001-96</t>
  </si>
  <si>
    <t>E001-320</t>
  </si>
  <si>
    <t>E001-47</t>
  </si>
  <si>
    <t>E001-22</t>
  </si>
  <si>
    <t>E001-42</t>
  </si>
  <si>
    <t>E001-20</t>
  </si>
  <si>
    <t>16 AL 20/02/2021</t>
  </si>
  <si>
    <t>15 AL 20/02/2021</t>
  </si>
  <si>
    <t>22 AL 27 FEBRERO</t>
  </si>
  <si>
    <t>E001-202</t>
  </si>
  <si>
    <t>E001-322</t>
  </si>
  <si>
    <t>E001-323</t>
  </si>
  <si>
    <t>E001-324</t>
  </si>
  <si>
    <t>E001-97</t>
  </si>
  <si>
    <t>1011, 1021, 1022</t>
  </si>
  <si>
    <t>E001-203</t>
  </si>
  <si>
    <t>E001-325</t>
  </si>
  <si>
    <t>E001-71</t>
  </si>
  <si>
    <t>E001-326</t>
  </si>
  <si>
    <t>E001-204</t>
  </si>
  <si>
    <t>E001-205</t>
  </si>
  <si>
    <t>E001-206</t>
  </si>
  <si>
    <t>E001-327</t>
  </si>
  <si>
    <t>E001-72</t>
  </si>
  <si>
    <t>E001-328</t>
  </si>
  <si>
    <t>11 AL 27 FEBRERO</t>
  </si>
  <si>
    <t>06, 07, 08</t>
  </si>
  <si>
    <t>13 AL 27 DE FEBRERO</t>
  </si>
  <si>
    <t>11 AL 27 DE FEBRERO</t>
  </si>
  <si>
    <t>22 AL 27 DE FEBRERO</t>
  </si>
  <si>
    <t>KATTHERINE MALQUICHAGUA</t>
  </si>
  <si>
    <t>CRISTIAN CORNEJO</t>
  </si>
  <si>
    <t>16 AL 27 DE FEBRERO</t>
  </si>
  <si>
    <t>15 AL 27 DE FEBRERO</t>
  </si>
  <si>
    <t>11, 12, 13/02/2021</t>
  </si>
  <si>
    <t>E001-31</t>
  </si>
  <si>
    <t>MIRIAM SARAVIA</t>
  </si>
  <si>
    <t>ANTONY CHUQUICUSMA</t>
  </si>
  <si>
    <t>ROGGER MIRANDA</t>
  </si>
  <si>
    <t>23 AL 27 DE FEBRERO</t>
  </si>
  <si>
    <t>01 AL 06 MARZO</t>
  </si>
  <si>
    <t>E001-330</t>
  </si>
  <si>
    <t>E001-331</t>
  </si>
  <si>
    <t>E001-207</t>
  </si>
  <si>
    <t>E001-332</t>
  </si>
  <si>
    <t>E001-329</t>
  </si>
  <si>
    <t>E001-333</t>
  </si>
  <si>
    <t>1463, 1464</t>
  </si>
  <si>
    <t>E001-87</t>
  </si>
  <si>
    <t>E001-208</t>
  </si>
  <si>
    <t>INSPECTORES</t>
  </si>
  <si>
    <t>CAHUANA TORONCAHUA MIRIAM SOFIA</t>
  </si>
  <si>
    <t>MARILEN KATIA GUTIERREZ MACHACA</t>
  </si>
  <si>
    <t>MARIO LUNA ESCALANTE</t>
  </si>
  <si>
    <t>YESENIA LIZBETH SEGURA GONZALES</t>
  </si>
  <si>
    <t>LUIS MARTIN ROJAS MURO</t>
  </si>
  <si>
    <t>LUIS ANGEL ACOSTA CAMPOS</t>
  </si>
  <si>
    <t>ANABEL MARILU BOLAÑOS NARCISO</t>
  </si>
  <si>
    <t>MIGUEL HOSPINAL NINANYA</t>
  </si>
  <si>
    <t>OSCAR MICHAEL HUAMANCAYO CARDOZO</t>
  </si>
  <si>
    <t>YANGALI LINO ALDAIR DENILSON</t>
  </si>
  <si>
    <t>CRISOSTOMO RAMOS RAQUEL LUZ</t>
  </si>
  <si>
    <t>ANDRE GASTON LOPEZ RIOS</t>
  </si>
  <si>
    <t>ARRIETA FACUNDO JUAN CARLOS</t>
  </si>
  <si>
    <t>ANA MELISSA ARTAZA CONDORI</t>
  </si>
  <si>
    <t>EDUARDO CABANILLAS MATHEWS</t>
  </si>
  <si>
    <t>HUGO ÁNGELO CAMPOS VALDELOMAR</t>
  </si>
  <si>
    <t xml:space="preserve">LOURDES ROSARIO CHARA NAVEROS </t>
  </si>
  <si>
    <t>JOSE LUIS CUEVA HUACCHA</t>
  </si>
  <si>
    <t>DIAZ MAMANI JULIO FERNANDO</t>
  </si>
  <si>
    <t>FRANCO ABNNER FLORES ESTRADA</t>
  </si>
  <si>
    <t>BRAULIO GÓMEZ UTANI</t>
  </si>
  <si>
    <t>KATICSA ISABEL OLIVERA VALENTIN</t>
  </si>
  <si>
    <t xml:space="preserve">RUBI ROSEMARY POZO HUAMANI </t>
  </si>
  <si>
    <t>DEYVID ENRIQUE QUICHIZ COTRINA</t>
  </si>
  <si>
    <t xml:space="preserve">MIGUEL ANGEL RAMOS MAMANI </t>
  </si>
  <si>
    <t xml:space="preserve">REMIGIO RIVAS ÑAUPA </t>
  </si>
  <si>
    <t>PAT TERESA TANTAHUILLCA LANDEO</t>
  </si>
  <si>
    <t>FREDDY RONALD VASQUEZ DE LA CRUZ</t>
  </si>
  <si>
    <t>ALLAN WILLIAMS VILCHEZ RUIDIAZ</t>
  </si>
  <si>
    <t>CARLOS ALBERTO VIVERO MARNANILLO</t>
  </si>
  <si>
    <t>MARIA JOSE CANALES MONTOYA</t>
  </si>
  <si>
    <t>BRUNO SANTOS MIRIAN</t>
  </si>
  <si>
    <t xml:space="preserve">ERNESTO ALONSO PALACIOS RAMOS </t>
  </si>
  <si>
    <t xml:space="preserve">WILLIAM MARTÍN SOJO QUEVEDO </t>
  </si>
  <si>
    <t>JOYCE MILAGROS ARROYO CASTRO</t>
  </si>
  <si>
    <t xml:space="preserve"> KARINA LEZLY HUAMAN GONZALES</t>
  </si>
  <si>
    <t>JUAN MIGUEL PAZ GRANDEZ</t>
  </si>
  <si>
    <t>Registro N°</t>
  </si>
  <si>
    <t>Feha de solicitud</t>
  </si>
  <si>
    <t>TIPO</t>
  </si>
  <si>
    <t>GASTO REAL</t>
  </si>
  <si>
    <t>Depositado a cuenta de:</t>
  </si>
  <si>
    <t>Deposito confirmado (Ok)</t>
  </si>
  <si>
    <t>ACTIVO</t>
  </si>
  <si>
    <t>GASTO PUERTO</t>
  </si>
  <si>
    <t>MANTENIMIENTO</t>
  </si>
  <si>
    <t>Total general</t>
  </si>
  <si>
    <t>OI</t>
  </si>
  <si>
    <t>Descripcion de la solicitud</t>
  </si>
  <si>
    <t>Monto solicitado</t>
  </si>
  <si>
    <t>INSPECCIONES</t>
  </si>
  <si>
    <t>ATC</t>
  </si>
  <si>
    <t>area</t>
  </si>
  <si>
    <t>descripción</t>
  </si>
  <si>
    <t>envío de sobres</t>
  </si>
  <si>
    <t>movilidad lima metropolitana</t>
  </si>
  <si>
    <t>compra de materiales generales</t>
  </si>
  <si>
    <t>AGRO</t>
  </si>
  <si>
    <t>SANEAMIENTO</t>
  </si>
  <si>
    <t>LABORATORIO</t>
  </si>
  <si>
    <t>CONTABILIDAD</t>
  </si>
  <si>
    <t>GERENCIA</t>
  </si>
  <si>
    <t>ADMINISTRACION</t>
  </si>
  <si>
    <t>SISTEMAS</t>
  </si>
  <si>
    <t>RECURSOS HUMANOS</t>
  </si>
  <si>
    <t>combustible</t>
  </si>
  <si>
    <t>cambio aceite</t>
  </si>
  <si>
    <t>servicio mantenimiento</t>
  </si>
  <si>
    <t>otros</t>
  </si>
  <si>
    <t>SERVICIO DE MUESTREO</t>
  </si>
  <si>
    <t>PROVINCIA</t>
  </si>
  <si>
    <t xml:space="preserve">Servicio </t>
  </si>
  <si>
    <t>001</t>
  </si>
  <si>
    <t>M</t>
  </si>
  <si>
    <t>-</t>
  </si>
  <si>
    <t>002</t>
  </si>
  <si>
    <t>003</t>
  </si>
  <si>
    <t>004</t>
  </si>
  <si>
    <t>005</t>
  </si>
  <si>
    <t>SI-001</t>
  </si>
  <si>
    <t>PAITA</t>
  </si>
  <si>
    <t>JAVIER TABOADA</t>
  </si>
  <si>
    <t>ENVIO DE MATERIALES</t>
  </si>
  <si>
    <t xml:space="preserve">PESQUERA HL S.A.C </t>
  </si>
  <si>
    <t>OSCAR CARRASCO</t>
  </si>
  <si>
    <t>INDUSTRIAL PESQUERA SANTA MONICA S.A.</t>
  </si>
  <si>
    <t>2024-9853</t>
  </si>
  <si>
    <t>2024-9864</t>
  </si>
  <si>
    <t>2024-9878</t>
  </si>
  <si>
    <t>2024-9879</t>
  </si>
  <si>
    <t>2025-0112</t>
  </si>
  <si>
    <t>SI-002</t>
  </si>
  <si>
    <t>EDGAR VELASQUEZ</t>
  </si>
  <si>
    <t>28, 30/12, 03, 04, 06/01/2025</t>
  </si>
  <si>
    <t>SI-003</t>
  </si>
  <si>
    <t>21, 23, 26, 27, 28, 30, 31/12/2024</t>
  </si>
  <si>
    <t>JIMMY MORAN</t>
  </si>
  <si>
    <t>AMAZONIC FOODS S.A.C</t>
  </si>
  <si>
    <t>006</t>
  </si>
  <si>
    <t>2024-9916, 9917</t>
  </si>
  <si>
    <t xml:space="preserve"> MADRE DE DIOS</t>
  </si>
  <si>
    <t>007</t>
  </si>
  <si>
    <t>CAPACITACIÓN</t>
  </si>
  <si>
    <t>LIMA</t>
  </si>
  <si>
    <t>PACIFIC CONTROL S.A.C.</t>
  </si>
  <si>
    <t>DEL 12 AL 16/01</t>
  </si>
  <si>
    <t>JUAN QUILICHE</t>
  </si>
  <si>
    <t>008</t>
  </si>
  <si>
    <t>2024-9815</t>
  </si>
  <si>
    <t>009</t>
  </si>
  <si>
    <t>INVERSIONES GENERALES DEL MAR S.A.C.</t>
  </si>
  <si>
    <t>2025-0248, 0249</t>
  </si>
  <si>
    <t>CHIMBOTE</t>
  </si>
  <si>
    <t>010</t>
  </si>
  <si>
    <t>CORPORACION FIMO E.I.R.L.</t>
  </si>
  <si>
    <t>2025-0217</t>
  </si>
  <si>
    <t>PIURA</t>
  </si>
  <si>
    <t>SI-004</t>
  </si>
  <si>
    <t>SI-005</t>
  </si>
  <si>
    <t>2025-0176</t>
  </si>
  <si>
    <t>011</t>
  </si>
  <si>
    <t>PROVEEDORA DE PRODUCTOS MARINOS S.A.C.</t>
  </si>
  <si>
    <t>09, 10, 11/01/2025</t>
  </si>
  <si>
    <t>FREDDY URIBE</t>
  </si>
  <si>
    <t>012</t>
  </si>
  <si>
    <t>PICHANAKI</t>
  </si>
  <si>
    <t>2025-0159</t>
  </si>
  <si>
    <t>2025-0285</t>
  </si>
  <si>
    <t>E</t>
  </si>
  <si>
    <t>CAVIS S.A.C.</t>
  </si>
  <si>
    <t>013</t>
  </si>
  <si>
    <t>PESQUERIA PRODUCTO DEL KOPE E.I.R.L.</t>
  </si>
  <si>
    <t>MOLLENDO</t>
  </si>
  <si>
    <t>GABRIELA JARA</t>
  </si>
  <si>
    <t>COTIZACION 2025</t>
  </si>
  <si>
    <t>014</t>
  </si>
  <si>
    <t>INVERSIONES GENERALES DEL MAR S.A.C.                                                                    INVERSIONES Y SERVICIOS GENERALES JARED S.R.L.</t>
  </si>
  <si>
    <t>2025-0568, 0566, 0567</t>
  </si>
  <si>
    <t>015</t>
  </si>
  <si>
    <t>2025-0468</t>
  </si>
  <si>
    <t>SI-006</t>
  </si>
  <si>
    <t>016</t>
  </si>
  <si>
    <t>2025-0409, 0567, 0569, 0570</t>
  </si>
  <si>
    <t>17, 20/01/2025</t>
  </si>
  <si>
    <t>SI-007</t>
  </si>
  <si>
    <t>11, 16, 18/01/2025</t>
  </si>
  <si>
    <t>SI-008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</si>
  <si>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</si>
  <si>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</si>
  <si>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</si>
  <si>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</si>
  <si>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</si>
  <si>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</si>
  <si>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</si>
  <si>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</si>
  <si>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</si>
  <si>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IVAN PIZARRO</t>
  </si>
  <si>
    <t>2025-0596</t>
  </si>
  <si>
    <t>MADRE DE DIOS</t>
  </si>
  <si>
    <t>2025-0759, 0760</t>
  </si>
  <si>
    <t xml:space="preserve">INVERSIONES KATHYMAR S.A.C. </t>
  </si>
  <si>
    <t>2025-0786</t>
  </si>
  <si>
    <t>COMERCIALIZADORA LA PAREJA S.A.C.                                                                                                 COMPAÑIA DEL FRIO S.R.L.</t>
  </si>
  <si>
    <t>2025-0698, 0702</t>
  </si>
  <si>
    <t>PUCALLPA</t>
  </si>
  <si>
    <t>22, 23/01/2025</t>
  </si>
  <si>
    <t>2025-0875, 0876, 0896, 0897</t>
  </si>
  <si>
    <t>27, 28, 29-Ene</t>
  </si>
  <si>
    <t xml:space="preserve">INVERSIONES KATHYMAR S.A.C. 
INVERSIONES EL GRAN PEZ S.A.C. </t>
  </si>
  <si>
    <t>JAVIER TABOADA /                       IVAN PIZARRO</t>
  </si>
  <si>
    <t>GLOBAL GROUP NUTRIMUNDO S.A.C. -
NUTRIGROUP S.A.C.</t>
  </si>
  <si>
    <t>2024-9670</t>
  </si>
  <si>
    <t xml:space="preserve">2025-0777 / 2025-0779 </t>
  </si>
  <si>
    <t xml:space="preserve">DALIKA PERU S.A.C. </t>
  </si>
  <si>
    <t>2025-0838</t>
  </si>
  <si>
    <t>INHOPE S.A.C</t>
  </si>
  <si>
    <t>SI-009</t>
  </si>
  <si>
    <t>AUDITORIA INTERNA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</si>
  <si>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</si>
  <si>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</si>
  <si>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</si>
  <si>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</si>
  <si>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</si>
  <si>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</si>
  <si>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</si>
  <si>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</si>
  <si>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</si>
  <si>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SANDRA CHAVEZ</t>
  </si>
  <si>
    <t>21, 22, 23, 24-Ene</t>
  </si>
  <si>
    <t>UMI FOODS S.A.C. 
FROZEN PRODUCTS CORPORATION S.A.C.
SOLUCIONES VETERINARIAS S.A.C.</t>
  </si>
  <si>
    <t>2025-0689, 0687, 0757, 0688, 0756, 0793, 0832</t>
  </si>
  <si>
    <t>SI-010</t>
  </si>
  <si>
    <t>25, 27/01/2025</t>
  </si>
  <si>
    <t>2025-0958, 0962, 0963</t>
  </si>
  <si>
    <t>2025-0149, 0188, 0108, 0246, 0635, 0842, 0756</t>
  </si>
  <si>
    <t>08, 10, 16, 20, 24/01/2025</t>
  </si>
  <si>
    <t>HIPERMERCADOS TOTTUS S.A
UMI FOODS S.A.C. 
INVERSIONES CAPTRI L&amp;M S.A.C.</t>
  </si>
  <si>
    <t>SI-011</t>
  </si>
  <si>
    <t>INVERSIONES Y SERVICIOS GENERALES JARED S.R.L.</t>
  </si>
  <si>
    <t>2025-1019, 1020</t>
  </si>
  <si>
    <t>SI-012</t>
  </si>
  <si>
    <t>2025-1021</t>
  </si>
  <si>
    <t xml:space="preserve">PONTE MORILLO JOSUE </t>
  </si>
  <si>
    <t>IQUITOS</t>
  </si>
  <si>
    <t>2025-0136</t>
  </si>
  <si>
    <t>CULQUICONDOR VELASQUEZ IVONNE</t>
  </si>
  <si>
    <t>SI-013</t>
  </si>
  <si>
    <t>SI-014</t>
  </si>
  <si>
    <t>SI-015</t>
  </si>
  <si>
    <t>2025-1185</t>
  </si>
  <si>
    <t>M                                     E</t>
  </si>
  <si>
    <t>2025-1141</t>
  </si>
  <si>
    <t>2025-1136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</si>
  <si>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</si>
  <si>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</si>
  <si>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</si>
  <si>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</si>
  <si>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</si>
  <si>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</si>
  <si>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</si>
  <si>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</si>
  <si>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</si>
  <si>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</si>
  <si>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</si>
  <si>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</si>
  <si>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</si>
  <si>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</si>
  <si>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</si>
  <si>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</si>
  <si>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</si>
  <si>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</si>
  <si>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</si>
  <si>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</si>
  <si>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</si>
  <si>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</si>
  <si>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</si>
  <si>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2025-1054</t>
  </si>
  <si>
    <t>2025-0892</t>
  </si>
  <si>
    <t>2025-1311, 1312, 1316</t>
  </si>
  <si>
    <t>GROUP COPORATION REYES S.A.C.                                                                          INVERSIONES Y SERVICIOS GENERALES JARED S.R.L.</t>
  </si>
  <si>
    <t>2025-0603, 0605, 0923, 1027, 1039, 1046, 1127, 1128, 1129, 1108, 1109</t>
  </si>
  <si>
    <t>28, 29, 30/01, 01/02/2025</t>
  </si>
  <si>
    <t>FENIZIAM PERU S.A.C.
FROZEN PRODUCTS CORPORATION S.A.C.
UMI FOODS S.A.C. 
GLOBAL FISH MARKET S.A.C.</t>
  </si>
  <si>
    <t>2025-1334</t>
  </si>
  <si>
    <t>INVERSIONES Y SERVICIOS GENERALES MAYVEN S.A.C.</t>
  </si>
  <si>
    <t>SI-016</t>
  </si>
  <si>
    <t>2025-1301, 1401</t>
  </si>
  <si>
    <t>CORPORACION MARITIMO SUR E.I.R.L.                                                       INVERSIONES KATHYMAR S.A.C.</t>
  </si>
  <si>
    <t>2025-1424; 2025-1425; 2025-1438</t>
  </si>
  <si>
    <t>SI-017</t>
  </si>
  <si>
    <t>INVERSIONES GENERALES JAER &amp; MAER E.I.R.L.
SUMAQ FISH S.A.C.</t>
  </si>
  <si>
    <t>2025-1552, 2025-1553, 2025-1548</t>
  </si>
  <si>
    <t>JIMMY MORÁN</t>
  </si>
  <si>
    <t>2025-1570</t>
  </si>
  <si>
    <t xml:space="preserve">MOLITALIA S.A.
UMI FOODS S.A.C. </t>
  </si>
  <si>
    <t>2025-1090, 1243, 1348</t>
  </si>
  <si>
    <t>2 soles devolución a pc (adjunto)</t>
  </si>
  <si>
    <t>2025-1041, 1042, 1096, 1184, 1181, 1182, 1243, 1082, 1439</t>
  </si>
  <si>
    <t>30/01, 03, 04, 06/02/2025</t>
  </si>
  <si>
    <t>FROZEN PRODUCTS CORPORATION S.A.C.
AGRO ALIMENTOS ANDINOS S.A.C.
UMI FOODS S.A.C. 
HIPERMERCADOS TOTTUS S.A.
ATOUV IMPORT S.A.C</t>
  </si>
  <si>
    <t>M                                                      R</t>
  </si>
  <si>
    <t>2025-1220, 1223</t>
  </si>
  <si>
    <t>INVERSIONES Y SERVICIOS GENERALES JARED S.R.L.
INVERSIONES PIVALE´S S.A.C</t>
  </si>
  <si>
    <t>2025-1623</t>
  </si>
  <si>
    <t>2025-1301</t>
  </si>
  <si>
    <t>12, 13, 14, 17 y 18/02/2025</t>
  </si>
  <si>
    <t>SUPERVISIÓN DE INSPECTORES</t>
  </si>
  <si>
    <t>2025-1662</t>
  </si>
  <si>
    <t>GROUP CORPORATION REYE'S S.A.C.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</si>
  <si>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</si>
  <si>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</si>
  <si>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</si>
  <si>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</si>
  <si>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</si>
  <si>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</si>
  <si>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</si>
  <si>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</si>
  <si>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</si>
  <si>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</si>
  <si>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</si>
  <si>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</si>
  <si>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</si>
  <si>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</si>
  <si>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</si>
  <si>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</si>
  <si>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</si>
  <si>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2025-1664</t>
  </si>
  <si>
    <t>INVERSIONES EL GRAN PEZ S.A.C.</t>
  </si>
  <si>
    <t>2025-1516</t>
  </si>
  <si>
    <t>INVERSIONES GENERALES JAER &amp; MAER E.I.R.L.</t>
  </si>
  <si>
    <t>2025-1724</t>
  </si>
  <si>
    <t>2025-1609</t>
  </si>
  <si>
    <t>PUNO</t>
  </si>
  <si>
    <t>SI-018</t>
  </si>
  <si>
    <t>SI-019</t>
  </si>
  <si>
    <t>SI-020</t>
  </si>
  <si>
    <t>SI-021</t>
  </si>
  <si>
    <t>SI-022</t>
  </si>
  <si>
    <t>13, 14, 15 Y 17 DE FEBRERO</t>
  </si>
  <si>
    <t>CARLOS JULCA</t>
  </si>
  <si>
    <t>10, 14, 15 Y 17 DE FEBRERO</t>
  </si>
  <si>
    <t>28, Y 29 DE ENERO; 07, 08, 10 Y 17 DE FEBRERO</t>
  </si>
  <si>
    <t>2025-1553</t>
  </si>
  <si>
    <t xml:space="preserve">UMI FOODS S.A.C. </t>
  </si>
  <si>
    <t>2025-1780</t>
  </si>
  <si>
    <t>2025-1880</t>
  </si>
  <si>
    <t xml:space="preserve"> INVERSIONES Y SERVICIOS GENERALES JARED S.R.L.</t>
  </si>
  <si>
    <t>2025-1879</t>
  </si>
  <si>
    <t>Dalika Perú S.A.C.</t>
  </si>
  <si>
    <t>2025-0777</t>
  </si>
  <si>
    <t>Javier Taboada Arca</t>
  </si>
  <si>
    <t>15/02/2025 y 16/02/2025</t>
  </si>
  <si>
    <t>2025-1695</t>
  </si>
  <si>
    <t>Industrial Pesquera Santa Mónica S.A.</t>
  </si>
  <si>
    <t>2025-1894</t>
  </si>
  <si>
    <t>Corporación Nacional Peru Exportaciones S.A.C.</t>
  </si>
  <si>
    <t>Industrial Pesquera Santa Monica S.A.</t>
  </si>
  <si>
    <t>2025-1811, 2025-1812</t>
  </si>
  <si>
    <t>SERVICIO DE INSPECCIÓN DE EMBARQUE</t>
  </si>
  <si>
    <t>20 y 21 febrero</t>
  </si>
  <si>
    <t>Industrial Pesquera Santa Monica  S.A.</t>
  </si>
  <si>
    <t>2025-1758</t>
  </si>
  <si>
    <t>SI-023</t>
  </si>
  <si>
    <t>INVERSIONES KATHYMAR S.A.C.</t>
  </si>
  <si>
    <t>2025-1921</t>
  </si>
  <si>
    <t>SI-024</t>
  </si>
  <si>
    <t>GALSERCON S.A.C.</t>
  </si>
  <si>
    <t>2025-1973</t>
  </si>
  <si>
    <t>TACNA</t>
  </si>
  <si>
    <t xml:space="preserve">INVERSIONES Y SERVICIOS GENERALES MAYVEN S.A.C. </t>
  </si>
  <si>
    <t>2025-1999</t>
  </si>
  <si>
    <t xml:space="preserve">GROUP CORPORACIÓN REYE'S S.A.C. </t>
  </si>
  <si>
    <t>2025-1997</t>
  </si>
  <si>
    <t>2025-2046</t>
  </si>
  <si>
    <t>SI-025</t>
  </si>
  <si>
    <t>EMPRESA</t>
  </si>
  <si>
    <t>COTIRZACIÓN</t>
  </si>
  <si>
    <t>2025-1642</t>
  </si>
  <si>
    <t>2025-1834</t>
  </si>
  <si>
    <t>2025-1807</t>
  </si>
  <si>
    <t>2025-1803</t>
  </si>
  <si>
    <t>2025-1877</t>
  </si>
  <si>
    <t>2025-1002</t>
  </si>
  <si>
    <t>FENIZIAM PERU S.A.C.</t>
  </si>
  <si>
    <t>ATOUV IMPORT S.A.C.</t>
  </si>
  <si>
    <t>UMI FOODS S.A.C.</t>
  </si>
  <si>
    <t>CORPORACION KIMBERLY SAC</t>
  </si>
  <si>
    <t>2025-1718</t>
  </si>
  <si>
    <t>2025-1836</t>
  </si>
  <si>
    <t>2025-1835</t>
  </si>
  <si>
    <t>2025-1884</t>
  </si>
  <si>
    <t>2025-1927</t>
  </si>
  <si>
    <t>MOLITALIA</t>
  </si>
  <si>
    <t>AMAZONIC FOODS S.A.C.</t>
  </si>
  <si>
    <t>PUERTO MALDONADO</t>
  </si>
  <si>
    <t>2025-2060</t>
  </si>
  <si>
    <t>OK</t>
  </si>
  <si>
    <t>2025-2072</t>
  </si>
  <si>
    <t>INVERSIONES KATHYMAR S.A.C</t>
  </si>
  <si>
    <t>SI-026</t>
  </si>
  <si>
    <t>2025-1743</t>
  </si>
  <si>
    <t>2025-2010</t>
  </si>
  <si>
    <t>2025-2011</t>
  </si>
  <si>
    <t>UMI FOODS S.A.C</t>
  </si>
  <si>
    <t>DALIKA PERU S.A.C.</t>
  </si>
  <si>
    <t>2025-2075</t>
  </si>
  <si>
    <t>CORPORACION VIERAMAR E.I.R.L.</t>
  </si>
  <si>
    <t>CORPORACION PESQUERA DEL SUR SAC</t>
  </si>
  <si>
    <t>2025-1716</t>
  </si>
  <si>
    <t>CUSCO</t>
  </si>
  <si>
    <t>INVERSIONES GENERALES DEL MAR SAC</t>
  </si>
  <si>
    <t>2025-2120</t>
  </si>
  <si>
    <t>2025-2135</t>
  </si>
  <si>
    <t>075</t>
  </si>
  <si>
    <t>076</t>
  </si>
  <si>
    <t>077</t>
  </si>
  <si>
    <t>078</t>
  </si>
  <si>
    <t>CALLAO</t>
  </si>
  <si>
    <t>25, 26, 27, 28 de febrero</t>
  </si>
  <si>
    <t>2025-2197</t>
  </si>
  <si>
    <t>GROUP CORPORATION REYE´S S.A.C.</t>
  </si>
  <si>
    <t>079</t>
  </si>
  <si>
    <t>2025-2204</t>
  </si>
  <si>
    <t>2025-2251</t>
  </si>
  <si>
    <t>2025-2166</t>
  </si>
  <si>
    <t>080</t>
  </si>
  <si>
    <t>2025-2306</t>
  </si>
  <si>
    <t xml:space="preserve">INVESTMENTS REYE´S </t>
  </si>
  <si>
    <t>081</t>
  </si>
  <si>
    <t>082</t>
  </si>
  <si>
    <t>083</t>
  </si>
  <si>
    <t>2025-2313</t>
  </si>
  <si>
    <t>SUMAQ FISH SAC</t>
  </si>
  <si>
    <t>2025-2208, 2254</t>
  </si>
  <si>
    <t>04/03/2025
05/03/2025</t>
  </si>
  <si>
    <t xml:space="preserve">BMV DEL MAR S.A.C.
FRUTOS Y ESPECIAS S.A.C. </t>
  </si>
  <si>
    <t>2025-1980</t>
  </si>
  <si>
    <t>084</t>
  </si>
  <si>
    <t>085</t>
  </si>
  <si>
    <t>086</t>
  </si>
  <si>
    <t>087</t>
  </si>
  <si>
    <t>INDUSTRIA PESQUERA SANTA MONICA S.A.</t>
  </si>
  <si>
    <t>27/02/2025 Y 28/02/2025</t>
  </si>
  <si>
    <t>SI-027</t>
  </si>
  <si>
    <t>FROZEN FISH EXPORT S.A.C.S.</t>
  </si>
  <si>
    <t>2025-2344</t>
  </si>
  <si>
    <t>2025-2359</t>
  </si>
  <si>
    <t>2025-2361</t>
  </si>
  <si>
    <t>CORPORACION MARITIMO SUR E.I.R.L</t>
  </si>
  <si>
    <t>INVESMENTS REYES S.A.C.</t>
  </si>
  <si>
    <t>2025-2401</t>
  </si>
  <si>
    <t>PISCO</t>
  </si>
  <si>
    <t xml:space="preserve"> XING WEI EXPORT S.A.C.</t>
  </si>
  <si>
    <t>088</t>
  </si>
  <si>
    <t>089</t>
  </si>
  <si>
    <t>090</t>
  </si>
  <si>
    <t>JAVIERT TABOADA</t>
  </si>
  <si>
    <t>2025-2438</t>
  </si>
  <si>
    <t>2025-2437</t>
  </si>
  <si>
    <t>DALIKA PERU SAC</t>
  </si>
  <si>
    <t>091</t>
  </si>
  <si>
    <t>092</t>
  </si>
  <si>
    <t>093</t>
  </si>
  <si>
    <t>094</t>
  </si>
  <si>
    <t>2025-2311</t>
  </si>
  <si>
    <t>2025-2138 2025-2161 2025-2162 2025-2165</t>
  </si>
  <si>
    <t>03/03/2025 Y 04/03/2025</t>
  </si>
  <si>
    <t>SI-028</t>
  </si>
  <si>
    <t>2025-1525
2025-1555
2025-1556
2025-1836
2025-1439</t>
  </si>
  <si>
    <t xml:space="preserve">HIPERMERCADOS TOTTUS 
FENIZIAM PERU
FENIZIAM PERU 
ATOUV 
SOLVET </t>
  </si>
  <si>
    <t>13, 14, 21 Y 28 de febrero</t>
  </si>
  <si>
    <t>095</t>
  </si>
  <si>
    <t>096</t>
  </si>
  <si>
    <t>097</t>
  </si>
  <si>
    <t>098</t>
  </si>
  <si>
    <t>099</t>
  </si>
  <si>
    <t>100</t>
  </si>
  <si>
    <t>2025-2025
2025-2095
2025-2131 y 2025-3132
2025-2208
2025-2264
2025-2450</t>
  </si>
  <si>
    <t>27/02/2025
28/02/2025
03/03/2025
04/03/2025
05/03/2025
10/03/2025</t>
  </si>
  <si>
    <t>ALIGRUP KYLAS S.A.C.
UMI FOODS S.A.C.
FENIZIAM PERU S.A.C.
BMV DEL MAR S.A.C.-
ATOUV IMPORT
SOLUCIONES VETERINARIAS S.A.C.</t>
  </si>
  <si>
    <t>2025-2264
2025-2267
2025-2144
2025-2376 Y 2025-2383
2025-2356</t>
  </si>
  <si>
    <t>ATOUV IMPORT
FROZEN PRODUCTS 
INVERSIONES IPAKA 
NOVAPERU SAC
FRIGORIFICO LS ANDES</t>
  </si>
  <si>
    <t>05/03/2025
05/03/2025
06/03/2025
07/03/2025
07/03/2025</t>
  </si>
  <si>
    <t>2025-2546</t>
  </si>
  <si>
    <t>2025-2551</t>
  </si>
  <si>
    <t>SI-029</t>
  </si>
  <si>
    <t>UMI FOODS S.A.C.
ATOUV IMPORT
NOVAPERU SAC
LA PATRONA
GALSERCON
ATOUV IMPORT</t>
  </si>
  <si>
    <t>2025-2098
2025-2264
2025-2383
2025-2384
2025-2408
2025-2466</t>
  </si>
  <si>
    <t>3/03/2025
5/03/2025
7/03/2025
8/03/2025
10/03/2025
11/03/2025</t>
  </si>
  <si>
    <t>FENIZIAM PERU S.A.C.
INVERSIONES IPAKA
GLOBAL FISH MARKET S.A.C.</t>
  </si>
  <si>
    <t>2025-2131 Y 2025-2132
2025-2143 Y 2025-2141
2025-2144</t>
  </si>
  <si>
    <t>3/03/2025
3/03/2025
3/03/2025</t>
  </si>
  <si>
    <t xml:space="preserve">INVERSIONES GENERALES DEL MAR S.A.C. </t>
  </si>
  <si>
    <t>2025-2612</t>
  </si>
  <si>
    <t>CORPORACION VIERAMAR E.I.R.L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</si>
  <si>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</si>
  <si>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</si>
  <si>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</si>
  <si>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</si>
  <si>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</si>
  <si>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</si>
  <si>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</si>
  <si>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</si>
  <si>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</si>
  <si>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2025-2608</t>
  </si>
  <si>
    <t xml:space="preserve">INDUSTRIAL PESQUERA SANTA MONICA </t>
  </si>
  <si>
    <t>2025-2345</t>
  </si>
  <si>
    <t xml:space="preserve">SURTIFOODS PERU S.A.C. </t>
  </si>
  <si>
    <t>2025-2406
2025- 2407
 2025-2420
2025-2422</t>
  </si>
  <si>
    <t>2025-2659</t>
  </si>
  <si>
    <t>2025-2658</t>
  </si>
  <si>
    <t>110</t>
  </si>
  <si>
    <t>SI-030</t>
  </si>
  <si>
    <t xml:space="preserve">2025-2483
</t>
  </si>
  <si>
    <t>G.W. YICHANG</t>
  </si>
  <si>
    <t>11, 12 Y 13 de marzo</t>
  </si>
  <si>
    <t>p</t>
  </si>
  <si>
    <t>SI-031</t>
  </si>
  <si>
    <t>SI-032</t>
  </si>
  <si>
    <t>2025-2576</t>
  </si>
  <si>
    <t>SURTIFOODS PERU SAC</t>
  </si>
  <si>
    <t>RECOJO DE MATERIALES</t>
  </si>
  <si>
    <t>2025-2483</t>
  </si>
  <si>
    <t>11/02/2025 Y 13/03/2025</t>
  </si>
  <si>
    <t>G.W. YICHANG &amp; CIA S.A.</t>
  </si>
  <si>
    <t>2025-2662</t>
  </si>
  <si>
    <t>2025-0779</t>
  </si>
  <si>
    <t>15/03/2025 y 16/03/2025</t>
  </si>
  <si>
    <t>SOLUCIONES VETERINARIAS S.A.C.
FENIZIAM 
FENIZIAM</t>
  </si>
  <si>
    <t>2025-2812
2025-2701
2025-2417</t>
  </si>
  <si>
    <t>18/03/2025
17/03/2025
17/03/2025</t>
  </si>
  <si>
    <t>2025-2846</t>
  </si>
  <si>
    <t>2025-2845</t>
  </si>
  <si>
    <t>111</t>
  </si>
  <si>
    <t>112</t>
  </si>
  <si>
    <t>113</t>
  </si>
  <si>
    <t>2025-2483
2025-2417
2025-2701</t>
  </si>
  <si>
    <t>SI-033</t>
  </si>
  <si>
    <t>G.W. YICHANG
FENIZIAM 
FENIZIAM</t>
  </si>
  <si>
    <t>11/03/2025
17/03/2025
17/03/2025</t>
  </si>
  <si>
    <t>SI-034</t>
  </si>
  <si>
    <t>TRASLADO DE MUESTRAS</t>
  </si>
  <si>
    <t>SI-035</t>
  </si>
  <si>
    <t>SI-036</t>
  </si>
  <si>
    <t>2025-2756</t>
  </si>
  <si>
    <t>PESQUERA HL S.A.C.</t>
  </si>
  <si>
    <t>SI-037</t>
  </si>
  <si>
    <t>2025-2492 
2025-2586
2025-2623
2025-2532</t>
  </si>
  <si>
    <t xml:space="preserve">HIPERMERCADOS TOTTUS 
SOLUCIONES VETERINARIAS
NOBEX
PISCIFACTORIAS DE LOS ANDES </t>
  </si>
  <si>
    <t>12/03/2025
13/03/2025
13/03/2025
14/03/2025</t>
  </si>
  <si>
    <t>114</t>
  </si>
  <si>
    <t>2025-2925</t>
  </si>
  <si>
    <t>2025-2532
2025-2686
2025-2812
2025-2827</t>
  </si>
  <si>
    <t>PISCIFACTORIA DE LOS ANDES 
HIPERMERCADOS TOTTUS
SOLUCIONES VETERINARIAS
G.W. YICHANG</t>
  </si>
  <si>
    <t>14/03/2025
15/03/2025
18/03/2025
19/03/2025</t>
  </si>
  <si>
    <t>2025-2832</t>
  </si>
  <si>
    <t>UNATUNA PERU EXPORT IMPORT</t>
  </si>
  <si>
    <t>115</t>
  </si>
  <si>
    <t>116</t>
  </si>
  <si>
    <t>2025-2982</t>
  </si>
  <si>
    <t>2025-2983</t>
  </si>
  <si>
    <t>117</t>
  </si>
  <si>
    <t>118</t>
  </si>
  <si>
    <t>SAGASTEGUI
G.W. YICHANG &amp; CIA S.A.</t>
  </si>
  <si>
    <t>2025-2706
 2025-2827</t>
  </si>
  <si>
    <t>20/03/2025
19/03/2025</t>
  </si>
  <si>
    <t>2025-2842</t>
  </si>
  <si>
    <t>SI-038</t>
  </si>
  <si>
    <t>119</t>
  </si>
  <si>
    <t>2025-3053</t>
  </si>
  <si>
    <t>2025-3054</t>
  </si>
  <si>
    <t>120</t>
  </si>
  <si>
    <t>121</t>
  </si>
  <si>
    <t>122</t>
  </si>
  <si>
    <t>123</t>
  </si>
  <si>
    <t>124</t>
  </si>
  <si>
    <t>2025-3011</t>
  </si>
  <si>
    <t>2025-3068</t>
  </si>
  <si>
    <t xml:space="preserve">PAITA </t>
  </si>
  <si>
    <t xml:space="preserve">PESCA </t>
  </si>
  <si>
    <t>SI-039</t>
  </si>
  <si>
    <t>125</t>
  </si>
  <si>
    <t>UMI FOODS 
FROZEN PRODUCTS</t>
  </si>
  <si>
    <t xml:space="preserve">LIMA </t>
  </si>
  <si>
    <t>2025-2861, 2025-2862, 2025-2863, 2025-2864
2025-2866</t>
  </si>
  <si>
    <t xml:space="preserve">NOVAPERU 
PECEPE </t>
  </si>
  <si>
    <t>2025-2931
2025-2932, 2025- 2879</t>
  </si>
  <si>
    <t>FROZEN PRODUCTS</t>
  </si>
  <si>
    <t>FROZEN PRODUCTS
PRODUCTS EXTRAGEL Y UNIVERSAL</t>
  </si>
  <si>
    <t>2025-3003
2025-2964/2965</t>
  </si>
  <si>
    <t>126</t>
  </si>
  <si>
    <t>2025-3065</t>
  </si>
  <si>
    <t>127</t>
  </si>
  <si>
    <t>2025-3095</t>
  </si>
  <si>
    <t>2025-3102</t>
  </si>
  <si>
    <t>2025-2964 y 2025-2965
2025-3059</t>
  </si>
  <si>
    <t>21/03/2025
24/03/2025</t>
  </si>
  <si>
    <t>SI-040</t>
  </si>
  <si>
    <t>21/03/2025
21/03/2025</t>
  </si>
  <si>
    <t>YICHANG
UMI FOODS SAC
FROZEN PRODUCTS</t>
  </si>
  <si>
    <t>128</t>
  </si>
  <si>
    <t xml:space="preserve">2025-2827
2025-3059
2025-3058
</t>
  </si>
  <si>
    <t>19/03/2025
24/03/2025
25/03/2025</t>
  </si>
  <si>
    <t xml:space="preserve">NOVAPERU 
NOVAPERU 
</t>
  </si>
  <si>
    <t>129</t>
  </si>
  <si>
    <t xml:space="preserve">2025-2931
2025-3109
</t>
  </si>
  <si>
    <t>20/03/2025
25/03/2025</t>
  </si>
  <si>
    <t>130</t>
  </si>
  <si>
    <t>21/03/2025
22/03/2025
24/03/2025</t>
  </si>
  <si>
    <t xml:space="preserve">UMI FOODS SAC
BMV DEL MAR SAC
DALIKA PERU S.A.C. 
</t>
  </si>
  <si>
    <t>131</t>
  </si>
  <si>
    <t>2025-2861, 2862, 2863, 2864
2025-2208
2025-2311</t>
  </si>
  <si>
    <t>M
E
E</t>
  </si>
  <si>
    <t>19/03/2025
22/03/2025
24/03/2025</t>
  </si>
  <si>
    <t>BONALI S.A.</t>
  </si>
  <si>
    <t>132</t>
  </si>
  <si>
    <t>2025-3047 y 2025-3048</t>
  </si>
  <si>
    <t>133</t>
  </si>
  <si>
    <t>PRODUCTOS EXTRAGEL Y UNIVERSAL S.A.C.</t>
  </si>
  <si>
    <t xml:space="preserve"> PRODUCTOS EXTRAGEL Y UNIVERSAL S.A.C.
UMI FOODS S.A.C</t>
  </si>
  <si>
    <t>GO</t>
  </si>
  <si>
    <t>2025-3099
2025-3100
2025-3101</t>
  </si>
  <si>
    <t>134</t>
  </si>
  <si>
    <t>135</t>
  </si>
  <si>
    <t>SI-041</t>
  </si>
  <si>
    <t>136</t>
  </si>
  <si>
    <t>137</t>
  </si>
  <si>
    <t>NOVAPERU SAC
SURTIFOODS</t>
  </si>
  <si>
    <t>2025-3109
2025-3136</t>
  </si>
  <si>
    <t>M
R</t>
  </si>
  <si>
    <t>26/03/2025
27/03/2025</t>
  </si>
  <si>
    <t>2025-3171</t>
  </si>
  <si>
    <t>2025-3136</t>
  </si>
  <si>
    <t>SI-042</t>
  </si>
  <si>
    <t>SI-043</t>
  </si>
  <si>
    <t>SI-044</t>
  </si>
  <si>
    <t>NOVAPERU SAC</t>
  </si>
  <si>
    <t>2025-3109</t>
  </si>
  <si>
    <t>SI-045</t>
  </si>
  <si>
    <t>138</t>
  </si>
  <si>
    <t>139</t>
  </si>
  <si>
    <t xml:space="preserve">PROVEEDORA DE PRODUCTOS MARINOS S. A. </t>
  </si>
  <si>
    <t>2025-3304</t>
  </si>
  <si>
    <t>PROTEINAS AGRO &amp; MAR SAC</t>
  </si>
  <si>
    <t>2025-3300</t>
  </si>
  <si>
    <t>140</t>
  </si>
  <si>
    <t xml:space="preserve">AGROALIMENTOS ANDINOS 
MERMES-CEMEX
UMI FOODS
BMV DEL MAR S.A.C.
KANTO GLOBAL </t>
  </si>
  <si>
    <t>2025-3060
2025-4924
2025-3129
2025-2208
2025-3254 y 2025-3129</t>
  </si>
  <si>
    <t>M
M
M
E
M</t>
  </si>
  <si>
    <t>24/03/2025
25/03/2025
26/03/2025
27/03/2025 Y 28/03/2025
31/03/2025</t>
  </si>
  <si>
    <t>141</t>
  </si>
  <si>
    <t>142</t>
  </si>
  <si>
    <t>143</t>
  </si>
  <si>
    <t>144</t>
  </si>
  <si>
    <t>2025-3243</t>
  </si>
  <si>
    <t>ERNESTO SANDOVAL</t>
  </si>
  <si>
    <t xml:space="preserve">INDUSTRIAL PESQUERA SANTA MÓNICA S. A. </t>
  </si>
  <si>
    <t>2025-3241</t>
  </si>
  <si>
    <t>2025-3247</t>
  </si>
  <si>
    <t>2025-3365</t>
  </si>
  <si>
    <t xml:space="preserve"> BORAL S.A.C.</t>
  </si>
  <si>
    <t xml:space="preserve"> GLOBAL GROUP NUTRIMUNDO S.A.C. 
NUTRIGROUP S.A.C.</t>
  </si>
  <si>
    <t>2025-3466</t>
  </si>
  <si>
    <t>145</t>
  </si>
  <si>
    <t>SI-046</t>
  </si>
  <si>
    <t>SI-047</t>
  </si>
  <si>
    <t>SI-048</t>
  </si>
  <si>
    <t>SI-049</t>
  </si>
  <si>
    <t>07/04/2025 
08/04/2025</t>
  </si>
  <si>
    <t>2025-2981
2025-3510</t>
  </si>
  <si>
    <t>ALIMENTOS DE EXPORTACIÓN SAC
SOLUCIONES VETERINARIAS SAC</t>
  </si>
  <si>
    <t>2025-2208</t>
  </si>
  <si>
    <t>BMV DEL MAR</t>
  </si>
  <si>
    <t>04/04/2025 y 07/04/2025</t>
  </si>
  <si>
    <t>146</t>
  </si>
  <si>
    <t>147</t>
  </si>
  <si>
    <t>148</t>
  </si>
  <si>
    <t>149</t>
  </si>
  <si>
    <t xml:space="preserve"> 2025-3464</t>
  </si>
  <si>
    <t xml:space="preserve"> OCEANS EXPORT E.I.R.L.</t>
  </si>
  <si>
    <t>2025-3574</t>
  </si>
  <si>
    <t>AGROINDUSTRIAL H &amp; H</t>
  </si>
  <si>
    <t>2025-3472</t>
  </si>
  <si>
    <t>2025-3630</t>
  </si>
  <si>
    <t>SI-050</t>
  </si>
  <si>
    <t>SI-051</t>
  </si>
  <si>
    <t>SI-052</t>
  </si>
  <si>
    <t>SI-053</t>
  </si>
  <si>
    <t>SI-054</t>
  </si>
  <si>
    <t>2025-3653</t>
  </si>
  <si>
    <t xml:space="preserve"> Proteínas Agro &amp; Mar SAC</t>
  </si>
  <si>
    <t>150</t>
  </si>
  <si>
    <t>151</t>
  </si>
  <si>
    <t>152</t>
  </si>
  <si>
    <t>153</t>
  </si>
  <si>
    <t xml:space="preserve"> 2025-3634</t>
  </si>
  <si>
    <t>2025-3254
2025-3617</t>
  </si>
  <si>
    <t>31/03/2025
14/04/2025</t>
  </si>
  <si>
    <t>KANTO GLOBAL TRADE SAC
INVERSIONES IPAKA S.A.C.</t>
  </si>
  <si>
    <t>2025-3170
2025-2208</t>
  </si>
  <si>
    <t xml:space="preserve"> REPRESENTACIONES OLEAGINOSAS - VICTORIA S.A.C.
BMV DEL MAR S.A.C.</t>
  </si>
  <si>
    <t>11, 12 Y 14 ABRIL
11 ABRIL</t>
  </si>
  <si>
    <t>2025-3707</t>
  </si>
  <si>
    <t>2025-3170</t>
  </si>
  <si>
    <t>REPRESENTACIONES OLEAGINOSAS - VICTORIA S.A.C</t>
  </si>
  <si>
    <t>12 y 13 abril</t>
  </si>
  <si>
    <t>154</t>
  </si>
  <si>
    <t>155</t>
  </si>
  <si>
    <t>156</t>
  </si>
  <si>
    <t>2025-3780</t>
  </si>
  <si>
    <t xml:space="preserve"> GLOBAL GROUP NUTRIMUNDO S.A.C. </t>
  </si>
  <si>
    <t>15/04/2025
16/04/2025</t>
  </si>
  <si>
    <t>2025-3617
2025-3716
2025-3677</t>
  </si>
  <si>
    <t>INVERSIONES IPAKA
SOLUCIONES VETERINARIAS SAC
VIGLIENZONE ADRIATICA S.R.L.</t>
  </si>
  <si>
    <t>11/04/2025
14/04/2025
15/04/2025</t>
  </si>
  <si>
    <t>SI-055</t>
  </si>
  <si>
    <t>SI-056</t>
  </si>
  <si>
    <t>SI-057</t>
  </si>
  <si>
    <t>SI-058</t>
  </si>
  <si>
    <t>SI-059</t>
  </si>
  <si>
    <t>SI-060</t>
  </si>
  <si>
    <t>SI-061</t>
  </si>
  <si>
    <t>SI-062</t>
  </si>
  <si>
    <t>RECOJO DE MUESTRAS</t>
  </si>
  <si>
    <t>07/04/2025
08/04/2025</t>
  </si>
  <si>
    <t>157</t>
  </si>
  <si>
    <t>158</t>
  </si>
  <si>
    <t>159</t>
  </si>
  <si>
    <t>160</t>
  </si>
  <si>
    <t>2025-3834</t>
  </si>
  <si>
    <t>2025-3877</t>
  </si>
  <si>
    <t>REPRESENTACIONES OLEAGINOSAS VICTORIA S.A.C.</t>
  </si>
  <si>
    <t xml:space="preserve"> SURTIFOODS PERU S.A.C.</t>
  </si>
  <si>
    <t xml:space="preserve"> 2025-3693
 2025-3694</t>
  </si>
  <si>
    <t xml:space="preserve"> GLOBAL GROUP NUTRIMUNDO S.A.C. - NUTRIGROUP S.A.C.</t>
  </si>
  <si>
    <t>25 Y 26 DE ABRIL</t>
  </si>
  <si>
    <t>161</t>
  </si>
  <si>
    <t>162</t>
  </si>
  <si>
    <t>163</t>
  </si>
  <si>
    <t>BORAL S.A.C.</t>
  </si>
  <si>
    <t xml:space="preserve"> 2025-3988</t>
  </si>
  <si>
    <t xml:space="preserve">INVERSIONES IPAKA S.A.C.
 FENIZIAM PERU S.A.C.
SAGASTEGUI DISTRIBUIDORES S.R.L.T.D.A.
VIGLIENZONE ADRIATICA S.A.C.
OLEAGINOSA HUACHO S.A.C.
KANTO GLOBAL TRADE SAC
SOLUCIONES VETERINARIAS </t>
  </si>
  <si>
    <t>2025-3156 Y 2025-3982
2025-3493 Y 2025-3494
2025-3592
2025-3577
2025-3717
2025-3254
2025-3879</t>
  </si>
  <si>
    <t>04/04/2025 Y 25704/2025
08/04/2025
14/04/2025
15/04/2025
17/04/2025
21/04/2025 Y 26/04/2025
22/04/2025</t>
  </si>
  <si>
    <t>2025-1926
2025-2251</t>
  </si>
  <si>
    <t>2025-3634</t>
  </si>
  <si>
    <t>GLOBAL GROUP NUTRIMUNDO S.A.C. - NUTRIGROUP S.A.C.</t>
  </si>
  <si>
    <t>164</t>
  </si>
  <si>
    <t>165</t>
  </si>
  <si>
    <t>166</t>
  </si>
  <si>
    <t>167</t>
  </si>
  <si>
    <t>168</t>
  </si>
  <si>
    <t>169</t>
  </si>
  <si>
    <t>170</t>
  </si>
  <si>
    <t xml:space="preserve"> DALIKA PERU S.A.C.</t>
  </si>
  <si>
    <t>03 Y 04 DE MAYO</t>
  </si>
  <si>
    <t>2025-3723</t>
  </si>
  <si>
    <t>07 y 09 DE MAYO</t>
  </si>
  <si>
    <t>08 Y 09 DE MAYO</t>
  </si>
  <si>
    <t>2025-3329</t>
  </si>
  <si>
    <t>CORPORACION NACIONAL PERU
 EXPORTACIONES S.A.C.</t>
  </si>
  <si>
    <t>FIMORS SOCIEDAD COMERCIAL DE RESPONSABILIDAD LIMITADA-FIMORS S.R.L</t>
  </si>
  <si>
    <t>2025-4355</t>
  </si>
  <si>
    <t>2025-4552</t>
  </si>
  <si>
    <t xml:space="preserve">VISITA A PC </t>
  </si>
  <si>
    <t>171</t>
  </si>
  <si>
    <t>172</t>
  </si>
  <si>
    <t>173</t>
  </si>
  <si>
    <t>174</t>
  </si>
  <si>
    <t xml:space="preserve">  2025-4564</t>
  </si>
  <si>
    <t xml:space="preserve"> 2025-4500
 2025-4501</t>
  </si>
  <si>
    <t>FRUCTUS TERRUM
BONALIA S.A.</t>
  </si>
  <si>
    <t>16/05/2025
19/05/2025</t>
  </si>
  <si>
    <t>2025-4670
2025-4427</t>
  </si>
  <si>
    <t>SOLUCIONES VETERINARIAS S.A.C.</t>
  </si>
  <si>
    <t>2025-4743</t>
  </si>
  <si>
    <t>GLOBAL GROUP NUTRIMUNDO S.A.C. NUTRIGROUP S.A.C.</t>
  </si>
  <si>
    <t>175</t>
  </si>
  <si>
    <t>176</t>
  </si>
  <si>
    <t>177</t>
  </si>
  <si>
    <t>178</t>
  </si>
  <si>
    <t>179</t>
  </si>
  <si>
    <t>2025-4835</t>
  </si>
  <si>
    <t>2025-4787</t>
  </si>
  <si>
    <t>AREQUIPA</t>
  </si>
  <si>
    <t>ALIMENTOS NATURALES Y VIDA SAC</t>
  </si>
  <si>
    <t>TRUJILLO</t>
  </si>
  <si>
    <t>VINCORP SAC</t>
  </si>
  <si>
    <t>2025-4955</t>
  </si>
  <si>
    <t>CONSORCIO DE ALIMENTOS NORTEÑO
 SOCIEDAD ANONIMA CERRADA</t>
  </si>
  <si>
    <t>2025-4887</t>
  </si>
  <si>
    <t>AYACUCHO</t>
  </si>
  <si>
    <t>23 Y 24 DE MAYO</t>
  </si>
  <si>
    <t>2025-4879</t>
  </si>
  <si>
    <t>180</t>
  </si>
  <si>
    <t>181</t>
  </si>
  <si>
    <t>182</t>
  </si>
  <si>
    <t>183</t>
  </si>
  <si>
    <t>CAMILA APONTE</t>
  </si>
  <si>
    <t xml:space="preserve"> RAMOS SANCHEZ FREDY</t>
  </si>
  <si>
    <t xml:space="preserve">   2025-4835</t>
  </si>
  <si>
    <t>2025-4793</t>
  </si>
  <si>
    <t>AGRO RESOURCES SOCIEDAD ANONIMA CERRADA - AGRO RESOURCES S.A.C.</t>
  </si>
  <si>
    <t>2025-4781
2025-4877</t>
  </si>
  <si>
    <t>28/05/2025
26/05/2025</t>
  </si>
  <si>
    <t xml:space="preserve">SAGASTEGUI DISTRIBUIDORES SRLTDA
SOLUCIONES VETERINARIAS S.A.C.
</t>
  </si>
  <si>
    <t>GLOBAL GROUP NUTRIMUNDO S.A.C. 
NUTRIGROUP S.A.C.</t>
  </si>
  <si>
    <t xml:space="preserve"> LOPEZ MALDONADO JOSE EDGAR</t>
  </si>
  <si>
    <t xml:space="preserve"> 2025-4834</t>
  </si>
  <si>
    <t>184</t>
  </si>
  <si>
    <t>185</t>
  </si>
  <si>
    <t>186</t>
  </si>
  <si>
    <t>BAHÍA PERÚ S.A.C</t>
  </si>
  <si>
    <t xml:space="preserve"> 2025-5205</t>
  </si>
  <si>
    <t>SI-063</t>
  </si>
  <si>
    <t>SI-064</t>
  </si>
  <si>
    <t>2025-5201</t>
  </si>
  <si>
    <t xml:space="preserve"> GOLSEM EXPORT FOODS E.I.R.L.</t>
  </si>
  <si>
    <t>SI-065</t>
  </si>
  <si>
    <t>SI-066</t>
  </si>
  <si>
    <t>SI-067</t>
  </si>
  <si>
    <t>2025-4999
2025-5001
2025-5002
2025-4665
2025-4858
2025-4855
2025-4718</t>
  </si>
  <si>
    <t>POTREROO SAC
INDUSTRIAS DIGRAL SAC
GRUPO COVA S.R.L.
AGROVET
COMERCIALIZADORA LA PAREJA SAC
AGROVET
AGROHIDRO</t>
  </si>
  <si>
    <t>REMIGIO RIVAS</t>
  </si>
  <si>
    <t>MOVILIDAD-AUDITORIA</t>
  </si>
  <si>
    <t>187</t>
  </si>
  <si>
    <t>188</t>
  </si>
  <si>
    <t>2025-5244
2025-4087</t>
  </si>
  <si>
    <t>SOLUCIONES VETERINARIAS S.A.C.
HELATONY'S SOCIEDAD ANONIMA CERRADA</t>
  </si>
  <si>
    <t>30/05/2025
03/06/2025</t>
  </si>
  <si>
    <t>2025-4957</t>
  </si>
  <si>
    <t>GRUPO E INVERSIONES LYF S.R.L.</t>
  </si>
  <si>
    <t>ICA</t>
  </si>
  <si>
    <t xml:space="preserve">M </t>
  </si>
  <si>
    <t>2025-4882
2025-4937
2025-5001
2025-5196</t>
  </si>
  <si>
    <t>189</t>
  </si>
  <si>
    <t>190</t>
  </si>
  <si>
    <t>191</t>
  </si>
  <si>
    <t>192</t>
  </si>
  <si>
    <t>POTRERO SAC
INDUSTRIAS COPSAC EIRL
INDUSTRIAS DIGRAL SAC
INVERSIONES IPAKA S.A.C.</t>
  </si>
  <si>
    <t>AYACUCHO
AYACUCHO
ABANCAY
LIMA</t>
  </si>
  <si>
    <t>23/05/2025
25/05/2025
27/05/2025
03/05/2025</t>
  </si>
  <si>
    <t xml:space="preserve"> DALIKA PERU S.A.C</t>
  </si>
  <si>
    <t xml:space="preserve"> 2025-5381</t>
  </si>
  <si>
    <t xml:space="preserve"> 06/06/2025</t>
  </si>
  <si>
    <t>SI-068</t>
  </si>
  <si>
    <t>SI-069</t>
  </si>
  <si>
    <t>2025-5196
2025-5279
2025-5314</t>
  </si>
  <si>
    <t>INVERSIONES IPAKA
HIPPERMERCADOS TOTTUS
BONALI</t>
  </si>
  <si>
    <t xml:space="preserve"> 2025-5453</t>
  </si>
  <si>
    <t>193</t>
  </si>
  <si>
    <t>194</t>
  </si>
  <si>
    <t>195</t>
  </si>
  <si>
    <t>196</t>
  </si>
  <si>
    <t>2025-4564</t>
  </si>
  <si>
    <t>GRUPO E INVERSIONES LYF S.R.L
INDUSTRIAS COPSA E.I.R.L.</t>
  </si>
  <si>
    <t>2025-5488
2025-5487</t>
  </si>
  <si>
    <t>2025-5640</t>
  </si>
  <si>
    <t>M&amp;L FARFAN S.A.C.</t>
  </si>
  <si>
    <t>INDUSTRIAS COPSA EIRL</t>
  </si>
  <si>
    <t>2025-5487</t>
  </si>
  <si>
    <t>197</t>
  </si>
  <si>
    <t>198</t>
  </si>
  <si>
    <t>2025-5039
2025-5041</t>
  </si>
  <si>
    <t>EMPRESA ACUICOLA DE SERVICIOS MULTIPLES SOCIEDAD COMERCIAL DE RESPONSABILIDAD LIMITADA
PISCIFACTORIAS DE LOS ANDES S.A</t>
  </si>
  <si>
    <t>2025-5467</t>
  </si>
  <si>
    <t>GRUPO E INVERSIONES LYF S.R.L</t>
  </si>
  <si>
    <t>10-13 de junio</t>
  </si>
  <si>
    <t xml:space="preserve"> 2025-5638</t>
  </si>
  <si>
    <t>199</t>
  </si>
  <si>
    <t>200</t>
  </si>
  <si>
    <t>201</t>
  </si>
  <si>
    <t>202</t>
  </si>
  <si>
    <t>203</t>
  </si>
  <si>
    <t xml:space="preserve"> ALMACEN FRIGORIFICO DE CABALLA Y CARNADA SAC</t>
  </si>
  <si>
    <t>SI-070</t>
  </si>
  <si>
    <t>SI-071</t>
  </si>
  <si>
    <t>2025-5762</t>
  </si>
  <si>
    <t xml:space="preserve">2025-3339 </t>
  </si>
  <si>
    <t xml:space="preserve">JUNIO </t>
  </si>
  <si>
    <t>2025-4185</t>
  </si>
  <si>
    <t>CONGELADO SUPERFISH S.A.C.</t>
  </si>
  <si>
    <t>SI-072</t>
  </si>
  <si>
    <t>SI-073</t>
  </si>
  <si>
    <t>SI-074</t>
  </si>
  <si>
    <t>SI-075</t>
  </si>
  <si>
    <t>204</t>
  </si>
  <si>
    <t>205</t>
  </si>
  <si>
    <t>206</t>
  </si>
  <si>
    <t>GOLSEM EXPORT FOODS E.I.R.L.</t>
  </si>
  <si>
    <t>2025-5844</t>
  </si>
  <si>
    <t>2025-5774
2025-5183</t>
  </si>
  <si>
    <t>INVERSIONES IPAKA
PRODUCTOS EXTRAGEL Y UNIVERSAL SAC</t>
  </si>
  <si>
    <t xml:space="preserve">GLOBAL GROUP NUTRIMUNDO S.A.C. </t>
  </si>
  <si>
    <t xml:space="preserve"> 2025-5850
2025-5851</t>
  </si>
  <si>
    <t>FROZEN FISH EXPORT SAC</t>
  </si>
  <si>
    <t>2025-5858</t>
  </si>
  <si>
    <t>JUNIOR NIMA</t>
  </si>
  <si>
    <t>2025-5774</t>
  </si>
  <si>
    <t>INVERSIONES IPAKA S.A.C.
HELATONY´S</t>
  </si>
  <si>
    <t>2025-5510</t>
  </si>
  <si>
    <t>207</t>
  </si>
  <si>
    <t>208</t>
  </si>
  <si>
    <t>209</t>
  </si>
  <si>
    <t>210</t>
  </si>
  <si>
    <t>2025-5908</t>
  </si>
  <si>
    <t>OCEANS EXPORT E.I.R.L.</t>
  </si>
  <si>
    <t>2025-5883</t>
  </si>
  <si>
    <t xml:space="preserve"> SOLUCIONES VETERINARIAS S.A.C.</t>
  </si>
  <si>
    <t>2025-6003</t>
  </si>
  <si>
    <t>2025-5640
2025-5651
2025-5653
2025-5654
2025-5652</t>
  </si>
  <si>
    <t>SI-076</t>
  </si>
  <si>
    <t>SI-077</t>
  </si>
  <si>
    <t>SI-078</t>
  </si>
  <si>
    <t>SI-079</t>
  </si>
  <si>
    <t>M &amp; L FARFAN SOCIEDAD ANONIMA
CORPORACION BEGANX S.A.C.
 CORPORACION ALIMENTARIA FAHE S.R.L. 
 EXON PERU SOCIEDAD ANONIMA CERRADA
 CORPORACION MAGNY FOODS S.A.C.</t>
  </si>
  <si>
    <t xml:space="preserve"> 2025-5809</t>
  </si>
  <si>
    <t>211</t>
  </si>
  <si>
    <t>212</t>
  </si>
  <si>
    <t>213</t>
  </si>
  <si>
    <t>214</t>
  </si>
  <si>
    <t>2025-5381</t>
  </si>
  <si>
    <t>2025-5499</t>
  </si>
  <si>
    <t>Viglienzone Adriatica S.R.L</t>
  </si>
  <si>
    <t>2025-5605</t>
  </si>
  <si>
    <t>SERVIFOOD PERU S.A.C.</t>
  </si>
  <si>
    <t>VERA AMAO IVETTE KATHERINE</t>
  </si>
  <si>
    <t>2025-5829</t>
  </si>
  <si>
    <t>2025-5858
2025-6031</t>
  </si>
  <si>
    <t>FROZEN FISH EXPORT S.A.C.S.
PRODUCTOS EXTRAGEL Y UNIVERSAL S.A.C.</t>
  </si>
  <si>
    <t>215</t>
  </si>
  <si>
    <t>216</t>
  </si>
  <si>
    <t>217</t>
  </si>
  <si>
    <t>218</t>
  </si>
  <si>
    <t>2025-6049</t>
  </si>
  <si>
    <t>2025-5605
2025-5624
2025-6097</t>
  </si>
  <si>
    <t xml:space="preserve"> SERVIFOOD PERU S.A.C
FUXION BIOTECH S.A.C.
FRUCTUS TERRUM S.A.</t>
  </si>
  <si>
    <t>2025-5948</t>
  </si>
  <si>
    <t>CAJAMARCA</t>
  </si>
  <si>
    <t xml:space="preserve"> SERVICIOS MULTIPLES PADRE ETERNO E.I.R.L</t>
  </si>
  <si>
    <t>219</t>
  </si>
  <si>
    <t>220</t>
  </si>
  <si>
    <t>221</t>
  </si>
  <si>
    <t>222</t>
  </si>
  <si>
    <t>223</t>
  </si>
  <si>
    <t>224</t>
  </si>
  <si>
    <t>225</t>
  </si>
  <si>
    <t>2025-6031</t>
  </si>
  <si>
    <t xml:space="preserve"> 2025-5829</t>
  </si>
  <si>
    <t>SI-080</t>
  </si>
  <si>
    <t>SI-082</t>
  </si>
  <si>
    <t>SI-083</t>
  </si>
  <si>
    <t>SAGASTEGUI DISTRIBUIDORES S.R.LTDA</t>
  </si>
  <si>
    <t>2025-6160</t>
  </si>
  <si>
    <t>2025-5799</t>
  </si>
  <si>
    <t>CONTROLEA</t>
  </si>
  <si>
    <t>226</t>
  </si>
  <si>
    <t>227</t>
  </si>
  <si>
    <t>228</t>
  </si>
  <si>
    <t>229</t>
  </si>
  <si>
    <t xml:space="preserve"> MEGA LOGISTICA GEO EIRL</t>
  </si>
  <si>
    <t xml:space="preserve"> 2025-6293</t>
  </si>
  <si>
    <t>2025-6375</t>
  </si>
  <si>
    <t xml:space="preserve"> CAVIS SOCIEDAD ANONIMA CERRADA</t>
  </si>
  <si>
    <t>2025-6184</t>
  </si>
  <si>
    <t>DALIKA</t>
  </si>
  <si>
    <t>2025-5851</t>
  </si>
  <si>
    <t>2025-5807</t>
  </si>
  <si>
    <t>2025-6398</t>
  </si>
  <si>
    <t>230</t>
  </si>
  <si>
    <t>231</t>
  </si>
  <si>
    <t>232</t>
  </si>
  <si>
    <t>233</t>
  </si>
  <si>
    <t>234</t>
  </si>
  <si>
    <t>235</t>
  </si>
  <si>
    <t>236</t>
  </si>
  <si>
    <t xml:space="preserve">PESCA ALIMENTOS ART S.A.C. </t>
  </si>
  <si>
    <t>2025-6353</t>
  </si>
  <si>
    <t>2025-6112</t>
  </si>
  <si>
    <t xml:space="preserve"> INGENIEROS ALIMENTARIOS &amp; ASOCIADOS SERVICIOS GENERALES S.A.C.</t>
  </si>
  <si>
    <t>2025-6281</t>
  </si>
  <si>
    <t>EXON PERU SOCIEDAD ANONIMA CERRADA</t>
  </si>
  <si>
    <t>2025-6354</t>
  </si>
  <si>
    <t xml:space="preserve"> INDUSTRIAS SONDOR S.A.C.</t>
  </si>
  <si>
    <t>2025-6450
2025-6460</t>
  </si>
  <si>
    <t>11/07/2025
12/07/2025</t>
  </si>
  <si>
    <t>MAXX SPORT NUTRITION S.A.C.
CASALINA &amp; CIA E.I.R.L.</t>
  </si>
  <si>
    <t>2025-6297</t>
  </si>
  <si>
    <t>237</t>
  </si>
  <si>
    <t>238</t>
  </si>
  <si>
    <t>239</t>
  </si>
  <si>
    <t>2025-6285
2025-6437</t>
  </si>
  <si>
    <t>240</t>
  </si>
  <si>
    <t>241</t>
  </si>
  <si>
    <t>Viglienzone Adriatica S.R.L
AMAZONIC FOODS SOCIEDAD ANONIMA CERRADA</t>
  </si>
  <si>
    <t>LIMA
MADRE DE DIOS</t>
  </si>
  <si>
    <t xml:space="preserve"> 2025-6569</t>
  </si>
  <si>
    <t xml:space="preserve"> 2025-6454</t>
  </si>
  <si>
    <t>ORIENTE SIGMA S.A.C.</t>
  </si>
  <si>
    <t>LAMAS</t>
  </si>
  <si>
    <t>2025-5422</t>
  </si>
  <si>
    <t>RBL FOOD BULGARIA LTD</t>
  </si>
  <si>
    <t>2025-6532</t>
  </si>
  <si>
    <t>BMV DEL MAR S.A.C.</t>
  </si>
  <si>
    <t>242</t>
  </si>
  <si>
    <t>243</t>
  </si>
  <si>
    <t>244</t>
  </si>
  <si>
    <t>2025-5850</t>
  </si>
  <si>
    <t>2025-6494
2025-6548
2025-6160
2025-6285
2025-6396</t>
  </si>
  <si>
    <t>POTRERO SAC
CUATRO ESTACIONES
SAGASTEGUI DISTRIBUIDORES
AMAZONIC FOODS SAC
AMAZONIC FOODS SAC</t>
  </si>
  <si>
    <t>PROVINCIA
PROVINCIA
LIMA
LIMA
LIMA</t>
  </si>
  <si>
    <t>2025-6647</t>
  </si>
  <si>
    <t>245</t>
  </si>
  <si>
    <t>246</t>
  </si>
  <si>
    <t>247</t>
  </si>
  <si>
    <t>248</t>
  </si>
  <si>
    <t>249</t>
  </si>
  <si>
    <t>2025-6266
2025-6501
2025-6482</t>
  </si>
  <si>
    <t>INDUSTRIAS JENOVA INTERNACIONAL EMPRESA INDIVIDUAL DE RESPONSABILIDAD LIMITADA-INDUJEN E.I.R.L.
SAGASTEGUI DISTRIBUIDORES S.R.LTDA
SAGASTEGUI DISTRIBUIDORES S.R.LTDA</t>
  </si>
  <si>
    <t>2025-6449
2025-6408</t>
  </si>
  <si>
    <t>GLOBAL PERUVIAN PRODUCTS S.A.C.
MULTISERVICIOS DYMAL SOCIEDAD COMERCIAL DE RESPONSABILIDAD LIMITADA</t>
  </si>
  <si>
    <t>2025-6501
2025-6482
2025-5880</t>
  </si>
  <si>
    <t>SAGASTEGUI DISTRIBUIDORES S.R.LTDA
SAGASTEGUI DISTRIBUIDORES S.R.LTDA
CORPORACION BEGANX S.A.C.</t>
  </si>
  <si>
    <t>2025-6718</t>
  </si>
  <si>
    <t>LIAF CONTROL S.R.L</t>
  </si>
  <si>
    <t>2025-6768
2025-6719</t>
  </si>
  <si>
    <t xml:space="preserve">M
M
</t>
  </si>
  <si>
    <t>GLOBAL PERUVIAN PRODUCTS S.A.C.
AMAZONIC FOODS SOCIEDAD ANONIMA CERRADA</t>
  </si>
  <si>
    <t>250</t>
  </si>
  <si>
    <t>251</t>
  </si>
  <si>
    <t>252</t>
  </si>
  <si>
    <t>253</t>
  </si>
  <si>
    <t>2025-6768</t>
  </si>
  <si>
    <t>GLOBAL PERUVIAN PRODUCTS S.A.C.</t>
  </si>
  <si>
    <t>AUDITORIA- TRASLADO DE AUDITORES (24/07/2025)</t>
  </si>
  <si>
    <t>2025-6926</t>
  </si>
  <si>
    <t>2025-6927</t>
  </si>
  <si>
    <t>254</t>
  </si>
  <si>
    <t>255</t>
  </si>
  <si>
    <t>2025-6895</t>
  </si>
  <si>
    <t>SONUTRA BLUMOS S.A.C.
AUDITORIA- TRASLADO DE AUDITORES (25/07/2025)</t>
  </si>
  <si>
    <t>SI-084</t>
  </si>
  <si>
    <t>SI-085</t>
  </si>
  <si>
    <t>SI-086</t>
  </si>
  <si>
    <t>256</t>
  </si>
  <si>
    <t>257</t>
  </si>
  <si>
    <t>258</t>
  </si>
  <si>
    <t>MOVILIDAD DE AUDITORIA</t>
  </si>
  <si>
    <t>SONUTRA BLUMOS S.A.C.</t>
  </si>
  <si>
    <t>2025-6712</t>
  </si>
  <si>
    <t>SI-081</t>
  </si>
  <si>
    <t>A</t>
  </si>
  <si>
    <t>259</t>
  </si>
  <si>
    <t>260</t>
  </si>
  <si>
    <t>261</t>
  </si>
  <si>
    <t>2025-6699
2025-6926
2025-6927</t>
  </si>
  <si>
    <t>PRODUCTOS EXTRAGEL Y UNIVERSAL S.A.C.
FROZEN FISH EXPORT SAC
INTER MARES E.I.R.L.</t>
  </si>
  <si>
    <t xml:space="preserve"> INTER MARES E.I.R.L.</t>
  </si>
  <si>
    <t>2025-7008</t>
  </si>
  <si>
    <t>Proteínas Agro &amp; Mar SAC</t>
  </si>
  <si>
    <t>*</t>
  </si>
  <si>
    <t>SURTIFOODS PERU S.A.C.                                                      
INVERSIONES GENERALES DEL MAR S.A.C.</t>
  </si>
  <si>
    <t>INVERSIONES Y SERVICIOS GENERALES
MAYVEN S.A.C.                                                                
GROUP COPORATION REYES S.A.C.</t>
  </si>
  <si>
    <t>PESCA / AGROALIMENTOS</t>
  </si>
  <si>
    <t>PESCA / CERTIFICACIONES</t>
  </si>
  <si>
    <t>movilidad auditoria</t>
  </si>
  <si>
    <t>PESCA / INSPECCIONES</t>
  </si>
  <si>
    <t>2025-7046</t>
  </si>
  <si>
    <t>UNIDAD DE NEGOCIO</t>
  </si>
  <si>
    <t>262</t>
  </si>
  <si>
    <t>263</t>
  </si>
  <si>
    <t>264</t>
  </si>
  <si>
    <t>NO</t>
  </si>
  <si>
    <t>2025-7276</t>
  </si>
  <si>
    <t>MES REQUERIDO</t>
  </si>
  <si>
    <t>Unidad de Negocio</t>
  </si>
  <si>
    <t>2025-7100
2025-7101</t>
  </si>
  <si>
    <t>265</t>
  </si>
  <si>
    <t>266</t>
  </si>
  <si>
    <t>SERVICIOS MULTIPLES PADRE ETERNO E.I.R.L
RS CORPORATION DELGADO E.I.R.L</t>
  </si>
  <si>
    <t>2025-7201</t>
  </si>
  <si>
    <t>SI-087</t>
  </si>
  <si>
    <t>2025-7458
2025-7527</t>
  </si>
  <si>
    <t>PRODUCTOS MARINOS EL ANDINO SOCIEDAD ANONIMA CERRADA
BERAKH E.I.R.L</t>
  </si>
  <si>
    <t>267</t>
  </si>
  <si>
    <t>268</t>
  </si>
  <si>
    <t>269</t>
  </si>
  <si>
    <t>2025-7515</t>
  </si>
  <si>
    <t>NICELI EXPORTACIONES E.I.R.L</t>
  </si>
  <si>
    <t>2025-7457</t>
  </si>
  <si>
    <t xml:space="preserve">ENVASADORA FRONTERIZA DE INSUMOS ACUICOLAS Y AGRICOLAS PERU S.A.C. </t>
  </si>
  <si>
    <t>270</t>
  </si>
  <si>
    <t>271</t>
  </si>
  <si>
    <t>2025-7470</t>
  </si>
  <si>
    <t>SI-088</t>
  </si>
  <si>
    <t>2025-7481</t>
  </si>
  <si>
    <t>272</t>
  </si>
  <si>
    <t>273</t>
  </si>
  <si>
    <t>274</t>
  </si>
  <si>
    <t>275</t>
  </si>
  <si>
    <t>276</t>
  </si>
  <si>
    <t>277</t>
  </si>
  <si>
    <t>278</t>
  </si>
  <si>
    <t>BORAL S.A.C.
NICELI EXPORTACIONES E.I.R.L</t>
  </si>
  <si>
    <t>2025-7481
2025-7457</t>
  </si>
  <si>
    <t>21/08/2025
20/08/2025</t>
  </si>
  <si>
    <t>AGRO ALIMENTOS ANDINOS S.A.C.</t>
  </si>
  <si>
    <t>2025-7598</t>
  </si>
  <si>
    <t>2025-7533</t>
  </si>
  <si>
    <t>CAVIS SOCIEDAD ANONIMA CERRADA</t>
  </si>
  <si>
    <t>2025-7611</t>
  </si>
  <si>
    <t>PICHANAQUI</t>
  </si>
  <si>
    <t xml:space="preserve"> 2025-7589</t>
  </si>
  <si>
    <t>2025-7453</t>
  </si>
  <si>
    <t>2025-7456</t>
  </si>
  <si>
    <t>FRUCTUS TERRUM S.A.</t>
  </si>
  <si>
    <t>2025-7596</t>
  </si>
  <si>
    <t>Operaciones Agroportuarias SA</t>
  </si>
  <si>
    <t>279</t>
  </si>
  <si>
    <t>PALOMINO HUAYTALLA GARY ANTONY</t>
  </si>
  <si>
    <t>280</t>
  </si>
  <si>
    <t>2025-7599</t>
  </si>
  <si>
    <t>2025-7333</t>
  </si>
  <si>
    <t>281</t>
  </si>
  <si>
    <t>2025-7641</t>
  </si>
  <si>
    <t>VIGLIENZONE ADRIATICA S.R.L</t>
  </si>
  <si>
    <t>282</t>
  </si>
  <si>
    <t>283</t>
  </si>
  <si>
    <t>SI-089</t>
  </si>
  <si>
    <t>HUAN XIANG RUI S.A.C.</t>
  </si>
  <si>
    <t>2025-7608</t>
  </si>
  <si>
    <t>INVERSIONES WECAN S.A.C.</t>
  </si>
  <si>
    <t>2025-7737</t>
  </si>
  <si>
    <t>284</t>
  </si>
  <si>
    <t>285</t>
  </si>
  <si>
    <t>286</t>
  </si>
  <si>
    <t>287</t>
  </si>
  <si>
    <t>288</t>
  </si>
  <si>
    <t>289</t>
  </si>
  <si>
    <t>2025-7803</t>
  </si>
  <si>
    <t xml:space="preserve"> 2025-7453 </t>
  </si>
  <si>
    <t xml:space="preserve">FROZEN FISH EXPORT S.A.C.S. </t>
  </si>
  <si>
    <t>2025-7736</t>
  </si>
  <si>
    <t xml:space="preserve">SOLUCIONES VETERINARIAS S.A.C. </t>
  </si>
  <si>
    <t xml:space="preserve">SAGASTEGUI DISTRIBUIDORES S.R.LTDA </t>
  </si>
  <si>
    <t>R</t>
  </si>
  <si>
    <t>2025-7461</t>
  </si>
  <si>
    <t>SERVIFOOD PERU S.A.C</t>
  </si>
  <si>
    <t xml:space="preserve">2025-7428 </t>
  </si>
  <si>
    <t>BAGUA</t>
  </si>
  <si>
    <t>290</t>
  </si>
  <si>
    <t>2025-7611
2025-7584</t>
  </si>
  <si>
    <t>EXON PERU SOCIEDAD ANONIMA - CONSERVA DE PESCADO</t>
  </si>
  <si>
    <t>291</t>
  </si>
  <si>
    <t>2025-7425</t>
  </si>
  <si>
    <t>292</t>
  </si>
  <si>
    <t>2025-7966</t>
  </si>
  <si>
    <t>SETIEMBRE</t>
  </si>
  <si>
    <t>WE SERVICIOS GENERALES PORTUARIOS SAC</t>
  </si>
  <si>
    <t>293</t>
  </si>
  <si>
    <t>ANCON</t>
  </si>
  <si>
    <t>STRENGTH FOODS SOCIEDAD ANÓNIMA</t>
  </si>
  <si>
    <t>2025-7711</t>
  </si>
  <si>
    <t>SI-090</t>
  </si>
  <si>
    <t>294</t>
  </si>
  <si>
    <t>UNATUNA PERU S.A.C.</t>
  </si>
  <si>
    <t>295</t>
  </si>
  <si>
    <t>2025-7957</t>
  </si>
  <si>
    <t>296</t>
  </si>
  <si>
    <t>2025-7589</t>
  </si>
  <si>
    <t>13/09/2025 a 16/09/2025
16/09/2025 a 20/09/2025</t>
  </si>
  <si>
    <t>TRUJILLO
PIURA</t>
  </si>
  <si>
    <t>2025-8388</t>
  </si>
  <si>
    <t>297</t>
  </si>
  <si>
    <t>VIGLIENZONE SA</t>
  </si>
  <si>
    <t>VINCORP S.A.C.</t>
  </si>
  <si>
    <t>298</t>
  </si>
  <si>
    <t>2025-7691</t>
  </si>
  <si>
    <t>299</t>
  </si>
  <si>
    <t>2025-8254</t>
  </si>
  <si>
    <t>300</t>
  </si>
  <si>
    <t>ABANCAY</t>
  </si>
  <si>
    <t>2025-8222</t>
  </si>
  <si>
    <t>INDUSTRIAS DIGRAL S.A.C</t>
  </si>
  <si>
    <t>SI-091</t>
  </si>
  <si>
    <t>301</t>
  </si>
  <si>
    <t>2025-8285</t>
  </si>
  <si>
    <t>WALMAR SEAFOOD PERU S.A.C.</t>
  </si>
  <si>
    <t>302</t>
  </si>
  <si>
    <t>2025-8588</t>
  </si>
  <si>
    <t>303</t>
  </si>
  <si>
    <t>304</t>
  </si>
  <si>
    <t>2025-7921</t>
  </si>
  <si>
    <t>2025-8306</t>
  </si>
  <si>
    <t>WIN WA E.I.R.L.</t>
  </si>
  <si>
    <t>MOYOBAMBA</t>
  </si>
  <si>
    <t>CABRERA ANDRADE CIRO NATANIEL</t>
  </si>
  <si>
    <t>305</t>
  </si>
  <si>
    <t>2025-8368</t>
  </si>
  <si>
    <t>RS CORPORACION DELGADO E.I.R.L.</t>
  </si>
  <si>
    <t>2025-7651</t>
  </si>
  <si>
    <t>306</t>
  </si>
  <si>
    <t>2025-8537</t>
  </si>
  <si>
    <t>307</t>
  </si>
  <si>
    <t>308</t>
  </si>
  <si>
    <t>309</t>
  </si>
  <si>
    <t>310</t>
  </si>
  <si>
    <t>2025-6360</t>
  </si>
  <si>
    <t>2025-6361</t>
  </si>
  <si>
    <t>HELATONY'S S.A.C</t>
  </si>
  <si>
    <t>311</t>
  </si>
  <si>
    <t>312</t>
  </si>
  <si>
    <t>2025-8628</t>
  </si>
  <si>
    <t>SI-092</t>
  </si>
  <si>
    <t>2025-8629</t>
  </si>
  <si>
    <t>KANTO GLOBAL TRADE SAC</t>
  </si>
  <si>
    <t>313</t>
  </si>
  <si>
    <t>314</t>
  </si>
  <si>
    <t>2025-8630</t>
  </si>
  <si>
    <t>315</t>
  </si>
  <si>
    <t>316</t>
  </si>
  <si>
    <t>AGROFIN AGROCOMMODITIES S.A.</t>
  </si>
  <si>
    <t>2025-8621</t>
  </si>
  <si>
    <t>DALIKA PERU S.A</t>
  </si>
  <si>
    <t xml:space="preserve">2025-8169 </t>
  </si>
  <si>
    <t>317</t>
  </si>
  <si>
    <t>DEVOLUCION 
PACIFIC C.</t>
  </si>
  <si>
    <t>DEVOLUCIÓN A INSPECTOR</t>
  </si>
  <si>
    <t>318</t>
  </si>
  <si>
    <t>319</t>
  </si>
  <si>
    <t>2025-8961</t>
  </si>
  <si>
    <t>BONALI S.A</t>
  </si>
  <si>
    <t>320</t>
  </si>
  <si>
    <t>2025-7773</t>
  </si>
  <si>
    <t>GLOBAL GROUP NUTRIMUNDO S.A.C.</t>
  </si>
  <si>
    <t>2025-9013</t>
  </si>
  <si>
    <t>321</t>
  </si>
  <si>
    <t>322</t>
  </si>
  <si>
    <t>BORAL S.A.C</t>
  </si>
  <si>
    <t>SI-093</t>
  </si>
  <si>
    <t>AGROPESCA DE PERU S.A.C.</t>
  </si>
  <si>
    <t>323</t>
  </si>
  <si>
    <t>324</t>
  </si>
  <si>
    <t>2025-9159</t>
  </si>
  <si>
    <t>2025-9064
2025-9065</t>
  </si>
  <si>
    <t>325</t>
  </si>
  <si>
    <t>COMERCIALIZADORA LAINER E.I.R.L</t>
  </si>
  <si>
    <t xml:space="preserve">2025-9187 </t>
  </si>
  <si>
    <t>326</t>
  </si>
  <si>
    <t>M/R</t>
  </si>
  <si>
    <t>327</t>
  </si>
  <si>
    <t>328</t>
  </si>
  <si>
    <t>329</t>
  </si>
  <si>
    <t>2025-9172</t>
  </si>
  <si>
    <t>2025-9113</t>
  </si>
  <si>
    <t>2025-9181</t>
  </si>
  <si>
    <t>2025-7901</t>
  </si>
  <si>
    <t>2025-8613</t>
  </si>
  <si>
    <t>330</t>
  </si>
  <si>
    <t>2025-9354</t>
  </si>
  <si>
    <t>SAGASTEGUI DISTRIBUIDORES S.R.L</t>
  </si>
  <si>
    <t>331</t>
  </si>
  <si>
    <t>VINCORP S.A.C</t>
  </si>
  <si>
    <t>2025-9105</t>
  </si>
  <si>
    <t>332</t>
  </si>
  <si>
    <t>SI-094</t>
  </si>
  <si>
    <t>2025-8615</t>
  </si>
  <si>
    <t>333</t>
  </si>
  <si>
    <t>334</t>
  </si>
  <si>
    <t>335</t>
  </si>
  <si>
    <t>2025-9470</t>
  </si>
  <si>
    <t xml:space="preserve">2025-9236 </t>
  </si>
  <si>
    <t>336</t>
  </si>
  <si>
    <t>AGROINDUSTRIAS NOBEX S.A.</t>
  </si>
  <si>
    <t xml:space="preserve">2025-9112 </t>
  </si>
  <si>
    <t>337</t>
  </si>
  <si>
    <t>338</t>
  </si>
  <si>
    <t>339</t>
  </si>
  <si>
    <t>2025-9186</t>
  </si>
  <si>
    <t>2025-7174</t>
  </si>
  <si>
    <t>FP FISHING TRADE S.A.C.</t>
  </si>
  <si>
    <t>FROZEN FISH EXPORT SACS</t>
  </si>
  <si>
    <t xml:space="preserve">2025-9666 </t>
  </si>
  <si>
    <t>340</t>
  </si>
  <si>
    <t>2025-9642</t>
  </si>
  <si>
    <t>341</t>
  </si>
  <si>
    <t>342</t>
  </si>
  <si>
    <t>2025-9674</t>
  </si>
  <si>
    <t xml:space="preserve">2025-9227 </t>
  </si>
  <si>
    <t>343</t>
  </si>
  <si>
    <t>PESQUERA MAR 4D SAC</t>
  </si>
  <si>
    <t>344</t>
  </si>
  <si>
    <t xml:space="preserve">2025-9669 </t>
  </si>
  <si>
    <t>345</t>
  </si>
  <si>
    <t>2025-9711</t>
  </si>
  <si>
    <t>SI-095</t>
  </si>
  <si>
    <t>346</t>
  </si>
  <si>
    <t>FIMORS SOCIEDAD COMERCIAL DE
RESPONSABILIDAD LIMITADA-FIMORS S.R.L</t>
  </si>
  <si>
    <t>2025-9681</t>
  </si>
  <si>
    <t>SECHURA</t>
  </si>
  <si>
    <t>347</t>
  </si>
  <si>
    <t>2025-9577</t>
  </si>
  <si>
    <t>GOBIERNO</t>
  </si>
  <si>
    <t>PIURA - PUNO</t>
  </si>
  <si>
    <t>29/10/2025
27/10/2025
28/10/2025</t>
  </si>
  <si>
    <t>PROGRAMA NACIONAL DE ALIMENTACIÓN ESCOLAR COMUNITARIA WASI MIKUNA PNAEC WASI MIKUNA</t>
  </si>
  <si>
    <t>2025-9395</t>
  </si>
  <si>
    <t>348</t>
  </si>
  <si>
    <t>349</t>
  </si>
  <si>
    <t>2025-9825</t>
  </si>
  <si>
    <t>FUXION BIOTECH S.A.C.</t>
  </si>
  <si>
    <t>350</t>
  </si>
  <si>
    <t>351</t>
  </si>
  <si>
    <t>352</t>
  </si>
  <si>
    <t>353</t>
  </si>
  <si>
    <t>SAGASTEGUI</t>
  </si>
  <si>
    <t>JULIACA</t>
  </si>
  <si>
    <t>2025-9473</t>
  </si>
  <si>
    <t>2025-9514
2025-9515</t>
  </si>
  <si>
    <t>PRODUCTOS EXTRAGEL Y UNIVERSAL S.A.C</t>
  </si>
  <si>
    <t>2025-9912</t>
  </si>
  <si>
    <t>DEVUELTO HASTA EL OCTUBRE 31/10/2025</t>
  </si>
  <si>
    <t>SI-096</t>
  </si>
  <si>
    <t>2025-9914</t>
  </si>
  <si>
    <t>354</t>
  </si>
  <si>
    <t>355</t>
  </si>
  <si>
    <t>2025-9915</t>
  </si>
  <si>
    <t>356</t>
  </si>
  <si>
    <t>357</t>
  </si>
  <si>
    <t>2025-9860</t>
  </si>
  <si>
    <t>PUENTE PIEDRA</t>
  </si>
  <si>
    <t>AMAZONIC FOODS SAC</t>
  </si>
  <si>
    <t>358</t>
  </si>
  <si>
    <t>359</t>
  </si>
  <si>
    <t>2025-10341</t>
  </si>
  <si>
    <t>360</t>
  </si>
  <si>
    <t>M/E</t>
  </si>
  <si>
    <t>2025-10144
2025-10191</t>
  </si>
  <si>
    <t>SURTIFOODS PERU S.A.C.</t>
  </si>
  <si>
    <t>2025-10294
2025-10295</t>
  </si>
  <si>
    <t>SI-097</t>
  </si>
  <si>
    <t>2025-10445</t>
  </si>
  <si>
    <t>361</t>
  </si>
  <si>
    <t>362</t>
  </si>
  <si>
    <t>PESQUERA MAR DE 4D S.A.C.</t>
  </si>
  <si>
    <t>2025-9928</t>
  </si>
  <si>
    <t>TRANSMARINA DEL PERU S.A.C.</t>
  </si>
  <si>
    <t>SI-098</t>
  </si>
  <si>
    <t>2025-9916</t>
  </si>
  <si>
    <t xml:space="preserve">2025-9918 </t>
  </si>
  <si>
    <t>363</t>
  </si>
  <si>
    <t>364</t>
  </si>
  <si>
    <t>ZEDINA ALIMENTOS S.A.C.</t>
  </si>
  <si>
    <t>2025-10218</t>
  </si>
  <si>
    <t>365</t>
  </si>
  <si>
    <t>LURIN</t>
  </si>
  <si>
    <t>366</t>
  </si>
  <si>
    <t>367</t>
  </si>
  <si>
    <t>2025-10508</t>
  </si>
  <si>
    <t>2025-10768</t>
  </si>
  <si>
    <t>INVERSIONES PESCADOS AMAZONICOS JA E.I.R.L</t>
  </si>
  <si>
    <t>368</t>
  </si>
  <si>
    <t>2025-10708</t>
  </si>
  <si>
    <t>SI-099</t>
  </si>
  <si>
    <t>PESQUERA EXALMAR S.A</t>
  </si>
  <si>
    <t>2025-10888</t>
  </si>
  <si>
    <t>369</t>
  </si>
  <si>
    <t>HUACHO</t>
  </si>
  <si>
    <t>MONIT</t>
  </si>
  <si>
    <t>370</t>
  </si>
  <si>
    <t>2025-10892</t>
  </si>
  <si>
    <t>CHILCA</t>
  </si>
  <si>
    <t>SI-100</t>
  </si>
  <si>
    <t>371</t>
  </si>
  <si>
    <t>2025-11138</t>
  </si>
  <si>
    <t>372</t>
  </si>
  <si>
    <t>KSL S.A.C.</t>
  </si>
  <si>
    <t>2025-11099</t>
  </si>
  <si>
    <t>2025-11127</t>
  </si>
  <si>
    <t>373</t>
  </si>
  <si>
    <t>374</t>
  </si>
  <si>
    <t>2025-10830</t>
  </si>
  <si>
    <t>2025-11096
2025-11251</t>
  </si>
  <si>
    <t>375</t>
  </si>
  <si>
    <t>PISCIFACTORIA DE LOS ANDES S.A
AMAZONIC FOODS S.A.C</t>
  </si>
  <si>
    <t>376</t>
  </si>
  <si>
    <t>2025-11255</t>
  </si>
  <si>
    <t>2025-11272</t>
  </si>
  <si>
    <t>377</t>
  </si>
  <si>
    <t>SI-101</t>
  </si>
  <si>
    <t>378</t>
  </si>
  <si>
    <t>2025-11372</t>
  </si>
  <si>
    <t>GLOBAL PERUVIAN PRODUCTS S.A.C</t>
  </si>
  <si>
    <t>379</t>
  </si>
  <si>
    <t>PRODUCTOS EXTRAGEL Y UNIVERSAL
S.A.C.</t>
  </si>
  <si>
    <t>380</t>
  </si>
  <si>
    <t>2025-11130</t>
  </si>
  <si>
    <t>KSL S.A.C</t>
  </si>
  <si>
    <t>381</t>
  </si>
  <si>
    <t>2025-11525</t>
  </si>
  <si>
    <t>IMPORTADORA MISTI S.A.C.</t>
  </si>
  <si>
    <t>2025-10601</t>
  </si>
  <si>
    <t>382</t>
  </si>
  <si>
    <t>FRIGORÍFICOS DE LOS ANDES S.A.C</t>
  </si>
  <si>
    <t>2025-11450</t>
  </si>
  <si>
    <t>383</t>
  </si>
  <si>
    <t>2025-11444</t>
  </si>
  <si>
    <t>HIPERMERCADOS TOTTUS S.A</t>
  </si>
  <si>
    <t>384</t>
  </si>
  <si>
    <t>PISCIFACTORIAS DE LOS ANDES S</t>
  </si>
  <si>
    <t xml:space="preserve">2025-11479 </t>
  </si>
  <si>
    <t>385</t>
  </si>
  <si>
    <t>BIG FISH EIRL</t>
  </si>
  <si>
    <t xml:space="preserve">2025-11384 </t>
  </si>
  <si>
    <t>386</t>
  </si>
  <si>
    <t>AGROINDUSTRIAL H &amp; H
IMPORTADORA-EXPORTADORA S.R.L.</t>
  </si>
  <si>
    <t>387</t>
  </si>
  <si>
    <t>388</t>
  </si>
  <si>
    <t>M&amp;L FARFAN</t>
  </si>
  <si>
    <t xml:space="preserve">2025-11232 </t>
  </si>
  <si>
    <t>SI-102</t>
  </si>
  <si>
    <t>FARO AZUL S.A.C.</t>
  </si>
  <si>
    <t>389</t>
  </si>
  <si>
    <t>2025-11559</t>
  </si>
  <si>
    <t>2025-11394</t>
  </si>
  <si>
    <t>390</t>
  </si>
  <si>
    <t>2025-11663</t>
  </si>
  <si>
    <t>391</t>
  </si>
  <si>
    <t>2025-11680</t>
  </si>
  <si>
    <t>M &amp; L FARFAN S.A.C.</t>
  </si>
  <si>
    <t>SPRING VALLEY FRUIT S.A.C.</t>
  </si>
  <si>
    <t>SI-103</t>
  </si>
  <si>
    <t>392</t>
  </si>
  <si>
    <t>2025-11733</t>
  </si>
  <si>
    <t>2026-0012</t>
  </si>
  <si>
    <t>INVERSIONES EN GRANOS Y PESCADO
AMAZONICO E.I.R.L.</t>
  </si>
  <si>
    <t>PESQUERA MAR DE 4D S.A.C. - BONITO ENTERO CONGELADO</t>
  </si>
  <si>
    <t>2026-0031</t>
  </si>
  <si>
    <t>COTIZACION 2026</t>
  </si>
  <si>
    <t xml:space="preserve">2026-0032 </t>
  </si>
  <si>
    <t>KOSTER PERÚ S.A.C.</t>
  </si>
  <si>
    <t>2025-11648</t>
  </si>
  <si>
    <t>10 DÍAS</t>
  </si>
  <si>
    <t>FALTA S/1,283.00</t>
  </si>
  <si>
    <t>COTIZACIÓN</t>
  </si>
  <si>
    <t>2026-0232</t>
  </si>
  <si>
    <t>m</t>
  </si>
  <si>
    <t>2026-0317</t>
  </si>
  <si>
    <t>2026-0310</t>
  </si>
  <si>
    <t>2026-0153</t>
  </si>
  <si>
    <t>FIMORS S.R.L</t>
  </si>
  <si>
    <t>FROZEN PRODUCTS CORPORATION S.A.C.</t>
  </si>
  <si>
    <t>2026-0431</t>
  </si>
  <si>
    <t>2026-0332</t>
  </si>
  <si>
    <t>2026-0452</t>
  </si>
  <si>
    <t>2026-0495</t>
  </si>
  <si>
    <t>M &amp; L FARFAN S.A.C</t>
  </si>
  <si>
    <t>2026-0492</t>
  </si>
  <si>
    <t>2026-0494</t>
  </si>
  <si>
    <t xml:space="preserve">ESTANCIA SANTA FE S.A.C. </t>
  </si>
  <si>
    <t>2026-0372</t>
  </si>
  <si>
    <t>2026-0551</t>
  </si>
  <si>
    <t xml:space="preserve">AGROPESCA DEL PERU S.A.C. </t>
  </si>
  <si>
    <t>SULLANA</t>
  </si>
  <si>
    <t>2026-0373</t>
  </si>
  <si>
    <t>BIG FISH E.I.R.L</t>
  </si>
  <si>
    <t>2026-0605</t>
  </si>
  <si>
    <t>FOMENTO DE PESCA ARTESANAL DEL PERU S.A.C.</t>
  </si>
  <si>
    <t>2026-0433</t>
  </si>
  <si>
    <t>2026-0530</t>
  </si>
  <si>
    <t>2026-0459</t>
  </si>
  <si>
    <t>samuel 118  y junior 187.20</t>
  </si>
  <si>
    <t>Ernesto 200</t>
  </si>
  <si>
    <t>Tito benites</t>
  </si>
  <si>
    <t>samuel 185</t>
  </si>
  <si>
    <t>jimmy 18.50, ivan 129</t>
  </si>
  <si>
    <t>BMV DEL MAR S.A.C.  14 Y 15</t>
  </si>
  <si>
    <t>2026-0492
2026-0494</t>
  </si>
  <si>
    <t>2026-0651</t>
  </si>
  <si>
    <t>FENIZIAM PERU S.A.C. (junior+jimmy)</t>
  </si>
  <si>
    <t>SAMUEL 130, OSCAR 125</t>
  </si>
  <si>
    <t>OSCAR 155</t>
  </si>
  <si>
    <t>falta sumar 1 día mas</t>
  </si>
  <si>
    <t>2026-0620</t>
  </si>
  <si>
    <t>SURTIFOODS PERU S.A.C samuel + jimmy</t>
  </si>
  <si>
    <t> INVERSIONES KATHYMAR S.A.C</t>
  </si>
  <si>
    <t>ivan y junior</t>
  </si>
  <si>
    <t>SAMUEL 131, JIMMY 19.50</t>
  </si>
  <si>
    <t>SAMUEL 125, Jimmy 21</t>
  </si>
  <si>
    <t>2026-0712</t>
  </si>
  <si>
    <t>Tito benites va 254 + 120</t>
  </si>
  <si>
    <t>2026-0704</t>
  </si>
  <si>
    <t>OSCAR AGUILAR 125</t>
  </si>
  <si>
    <t>SAMUEL 128</t>
  </si>
  <si>
    <t>2026-0792</t>
  </si>
  <si>
    <t>2026-0706</t>
  </si>
  <si>
    <t>2026-0553</t>
  </si>
  <si>
    <t>2026-0703</t>
  </si>
  <si>
    <t>2026-1006</t>
  </si>
  <si>
    <t>TRASEGADO</t>
  </si>
  <si>
    <t>2026-0961</t>
  </si>
  <si>
    <t>SAMUEL 126</t>
  </si>
  <si>
    <t>2026-1108</t>
  </si>
  <si>
    <t>2026-1177</t>
  </si>
  <si>
    <t>2026-1160</t>
  </si>
  <si>
    <t>JUNIOR</t>
  </si>
  <si>
    <t>IVAN</t>
  </si>
  <si>
    <t>AMAZONIC FOODS SOCIEDAD ANONIMA CERRADA</t>
  </si>
  <si>
    <t>2026-1195</t>
  </si>
  <si>
    <t>INVERSIONES Y SERVICIOS GENERALES
MAYVEN S.A.C.</t>
  </si>
  <si>
    <t>2026-1248</t>
  </si>
  <si>
    <t>SAMUEL 127 JIMMY 13</t>
  </si>
  <si>
    <t>2026-1110
2026-1109</t>
  </si>
  <si>
    <t>2026-1346</t>
  </si>
  <si>
    <t>2026-1196</t>
  </si>
  <si>
    <t>2026-1291</t>
  </si>
  <si>
    <t>AGRO ALIMENTOS ANDINOS</t>
  </si>
  <si>
    <t>AGROPESCA DEL PERU S.A.C. 
SPRING VALLEY FRUIT S.A.C</t>
  </si>
  <si>
    <t>2026-0551
2025-11663</t>
  </si>
  <si>
    <t>DEPOSITO A</t>
  </si>
  <si>
    <t>FREE CHIMBOTE</t>
  </si>
  <si>
    <t>HENRRY</t>
  </si>
  <si>
    <t xml:space="preserve">INTRIAGO ALVAREZ JOSE GREGORIO </t>
  </si>
  <si>
    <t>INTER MARES E.I.R.L.</t>
  </si>
  <si>
    <t>2026-1145</t>
  </si>
  <si>
    <t>AUDITORIA DE SEGUIMIENTO CON INACAL</t>
  </si>
  <si>
    <t xml:space="preserve"> -</t>
  </si>
  <si>
    <t>2026-1481</t>
  </si>
  <si>
    <t>2026-0974</t>
  </si>
  <si>
    <t>CMM PRODUCTS S.A.C.</t>
  </si>
  <si>
    <t>AFORO</t>
  </si>
  <si>
    <t xml:space="preserve">HENRRY </t>
  </si>
  <si>
    <t>2026-1217
2026-1220</t>
  </si>
  <si>
    <t>samuel 154</t>
  </si>
  <si>
    <t>AGROINDUSTRIAL H &amp; H IMPORTADORA- EXPORTADORA S.R.L.</t>
  </si>
  <si>
    <t>2026-1443</t>
  </si>
  <si>
    <t>2026-0545</t>
  </si>
  <si>
    <t>MACPEZ E.I.R.L.</t>
  </si>
  <si>
    <t>2026-1458</t>
  </si>
  <si>
    <t>SAMUEL</t>
  </si>
  <si>
    <t>SPRING VALLEY FRUIT S.A.C</t>
  </si>
  <si>
    <t>2026-1619</t>
  </si>
  <si>
    <t>PISCIFACTORIAS DE LOS ANDES S.A</t>
  </si>
  <si>
    <t>2026-1515</t>
  </si>
  <si>
    <t>HUARAL</t>
  </si>
  <si>
    <t>2026-1625</t>
  </si>
  <si>
    <t>TECNOLOGIA QUIMICA Y COMERCIO S.A.</t>
  </si>
  <si>
    <t>2026-1654</t>
  </si>
  <si>
    <t>ERNESTO 110</t>
  </si>
  <si>
    <t>ERNESTO 186</t>
  </si>
  <si>
    <t>henrry</t>
  </si>
  <si>
    <t>TRASEGADO Y EMBARQUE</t>
  </si>
  <si>
    <t>INVERSIONES IPAKA S.A.C.</t>
  </si>
  <si>
    <t>2025-3982</t>
  </si>
  <si>
    <t>PESCAFRUITS S.A.C.</t>
  </si>
  <si>
    <t>2025-4858</t>
  </si>
  <si>
    <t>INVERSIONES PESCADOS AMAZONICOS JA E.I.R.L.</t>
  </si>
  <si>
    <t>2025-0653</t>
  </si>
  <si>
    <t>lima</t>
  </si>
  <si>
    <t>0505250372</t>
  </si>
  <si>
    <t>0809251030</t>
  </si>
  <si>
    <t>0509251017</t>
  </si>
  <si>
    <t>CLIENTE</t>
  </si>
  <si>
    <t>COTIZACION</t>
  </si>
  <si>
    <t>CERTIFICADO</t>
  </si>
  <si>
    <t>callao</t>
  </si>
  <si>
    <t>tacna</t>
  </si>
  <si>
    <t>Madre de Dios</t>
  </si>
  <si>
    <t>EDGAR</t>
  </si>
  <si>
    <t>GO-253</t>
  </si>
  <si>
    <t>GO-368</t>
  </si>
  <si>
    <t>2026-1775</t>
  </si>
  <si>
    <t>FENIZIAM PERU S.A.C</t>
  </si>
  <si>
    <t>2026-1428</t>
  </si>
  <si>
    <t>2026-1784</t>
  </si>
  <si>
    <t>DALIKA PERU S.A.C.</t>
  </si>
  <si>
    <t>2026-1651</t>
  </si>
  <si>
    <t xml:space="preserve">2026-1859 </t>
  </si>
  <si>
    <t>INVERSIONES EN GRANOS Y PESCADO AMAZONICO E.I.R.L.</t>
  </si>
  <si>
    <t>FRIGORIFICOS DE LOS ANDES S.A.C.</t>
  </si>
  <si>
    <t>2026-1892</t>
  </si>
  <si>
    <t>110 ernesto
172 free</t>
  </si>
  <si>
    <t>GROUP CORPORATION REYE'S S.A.C</t>
  </si>
  <si>
    <t>2026-1793</t>
  </si>
  <si>
    <t>2026-1806</t>
  </si>
  <si>
    <t>TITO</t>
  </si>
  <si>
    <t>INVERSIONES GENERALES DEL MAR S.A.C</t>
  </si>
  <si>
    <t>2026-1904</t>
  </si>
  <si>
    <t>2026-1870</t>
  </si>
  <si>
    <t>190 sandra</t>
  </si>
  <si>
    <t>ivan y junior + free</t>
  </si>
  <si>
    <t>2026-1943</t>
  </si>
  <si>
    <t>2026-1941</t>
  </si>
  <si>
    <t>2026-2024
2026-2035</t>
  </si>
  <si>
    <t>CUZCO</t>
  </si>
  <si>
    <t>2026-1942</t>
  </si>
  <si>
    <t>2026-2110</t>
  </si>
  <si>
    <t>2026-1620
2026-1619
2026-1621</t>
  </si>
  <si>
    <t>KÖSTER MARINE PROTEINS GMBH</t>
  </si>
  <si>
    <t>2026-2188</t>
  </si>
  <si>
    <t>2026-2203</t>
  </si>
  <si>
    <t>2026-2157</t>
  </si>
  <si>
    <t>HIPERMERCADOS TOTTUS S.A.</t>
  </si>
  <si>
    <t>2026-1903</t>
  </si>
  <si>
    <t>GROUP CORPORATION REYE'S S.A.C
INVERSIONES GENERALES DEL MAR S.A.C</t>
  </si>
  <si>
    <t>2026-1892
2026-1904</t>
  </si>
  <si>
    <t>FENIZIAM PERU S.A.C.
BIG FISH EIR</t>
  </si>
  <si>
    <t xml:space="preserve">2026-1974
2026-2145 </t>
  </si>
  <si>
    <t>GROUP CORPORATION REYE'S S.A.C.</t>
  </si>
  <si>
    <t>2026-2291</t>
  </si>
  <si>
    <t>TITO NAHUN 274</t>
  </si>
  <si>
    <t>ERNESTO 218.5</t>
  </si>
  <si>
    <t xml:space="preserve">2026-2332 </t>
  </si>
  <si>
    <t>2026-2520</t>
  </si>
  <si>
    <t>INTRIAGO ALVAREZ JOSE GREGORIO</t>
  </si>
  <si>
    <t>2026-2543</t>
  </si>
  <si>
    <t>2026-2521</t>
  </si>
  <si>
    <t>2026-2634</t>
  </si>
  <si>
    <t>SPRING VALLEY FRUIT S.A.C. </t>
  </si>
  <si>
    <t>2026-2621</t>
  </si>
  <si>
    <t>2026-2711</t>
  </si>
  <si>
    <t>EXPORPEX S.A.C.</t>
  </si>
  <si>
    <t>2026-2440</t>
  </si>
  <si>
    <t>AGROINDUSTRIAL H &amp; H IMPORTADORA-EXPORTADORA S.R.L.</t>
  </si>
  <si>
    <t>2026-2566</t>
  </si>
  <si>
    <t>WALMAR SEAFOOD PERU S.A.C</t>
  </si>
  <si>
    <t>2026-2530</t>
  </si>
  <si>
    <t>2026-2825</t>
  </si>
  <si>
    <t>henrry 115</t>
  </si>
  <si>
    <t>2026-2694</t>
  </si>
  <si>
    <t>PESQUERA MIGUEL ANGEL S.A.C.</t>
  </si>
  <si>
    <t>2026-1917</t>
  </si>
  <si>
    <t>2026-3085</t>
  </si>
  <si>
    <t>DALIKA PERU S.A.C</t>
  </si>
  <si>
    <t xml:space="preserve">2026-3084 </t>
  </si>
  <si>
    <t>PUCALPA</t>
  </si>
  <si>
    <t>2026-3273</t>
  </si>
  <si>
    <t>2026-3232</t>
  </si>
  <si>
    <t>2026-3182</t>
  </si>
  <si>
    <t>2026-3168</t>
  </si>
  <si>
    <t>CHICLAYO</t>
  </si>
  <si>
    <t>2026-3587</t>
  </si>
  <si>
    <t>2026-3394</t>
  </si>
  <si>
    <t>2026-3655</t>
  </si>
  <si>
    <t>2026-3692</t>
  </si>
  <si>
    <t>2026-3485</t>
  </si>
  <si>
    <t>2026-3693</t>
  </si>
  <si>
    <t xml:space="preserve">GROUP CORPORATION REYE'S S.A.C. </t>
  </si>
  <si>
    <t>2026-3841</t>
  </si>
  <si>
    <t>INTRIAGO ALVAREZ JOSE GREGORIO</t>
  </si>
  <si>
    <t>2026-3907</t>
  </si>
  <si>
    <t>2026-3908</t>
  </si>
  <si>
    <t>2026-3837</t>
  </si>
  <si>
    <t xml:space="preserve">FRIGORIFICOS DE LOS ANDES S.A.C. </t>
  </si>
  <si>
    <t>2026-4003</t>
  </si>
  <si>
    <t>2026-4282</t>
  </si>
  <si>
    <t>AMAZONIC FOODS SOCIEDAD ANONIMA
CERRADA</t>
  </si>
  <si>
    <t>2026-4070
2026-4077</t>
  </si>
  <si>
    <t>2026-4487</t>
  </si>
  <si>
    <t>2026-4328</t>
  </si>
  <si>
    <t>2026-4617</t>
  </si>
  <si>
    <t>2026-4669</t>
  </si>
  <si>
    <t>2026-4678</t>
  </si>
  <si>
    <t>2026-4677</t>
  </si>
  <si>
    <t>2026-4645</t>
  </si>
  <si>
    <t>SERVICIOS Y NEGOCIOS MILAGRO DEL PILAR S.A.C.</t>
  </si>
  <si>
    <t xml:space="preserve">2026-4686 </t>
  </si>
  <si>
    <t>2026-4687</t>
  </si>
  <si>
    <t xml:space="preserve"> INVERSIONES GENERALES DEL MAR S.A.C. </t>
  </si>
  <si>
    <t>2026-5090</t>
  </si>
  <si>
    <t xml:space="preserve">KANTO GLOBAL TRADE SAC </t>
  </si>
  <si>
    <t>2026-5168</t>
  </si>
  <si>
    <t>2026-4863</t>
  </si>
  <si>
    <t>2026-3981</t>
  </si>
  <si>
    <t>2026-4790</t>
  </si>
  <si>
    <t>PIONERO ALIMENTARIO E.I.R.L.</t>
  </si>
  <si>
    <t>2026-4784</t>
  </si>
  <si>
    <t>2026-4858</t>
  </si>
  <si>
    <t>NUTRIFISH TRADING S.A.C.</t>
  </si>
  <si>
    <t>2026-5369</t>
  </si>
  <si>
    <t>2026-5128</t>
  </si>
  <si>
    <t>2026-5576</t>
  </si>
  <si>
    <t xml:space="preserve"> 2026-5513</t>
  </si>
  <si>
    <t>INVERSIONES HOLDING PERU S.A.C.</t>
  </si>
  <si>
    <t>MI CAUTIVO DE AYABACA SOCIEDAD ANONIMA CERRADA</t>
  </si>
  <si>
    <t xml:space="preserve"> 2026-5304</t>
  </si>
  <si>
    <t>LAMBAYEQUE</t>
  </si>
  <si>
    <t>2026-5767</t>
  </si>
  <si>
    <t>2026-5483</t>
  </si>
  <si>
    <t>2026-5671</t>
  </si>
  <si>
    <t>2026-4282
2026-5369</t>
  </si>
  <si>
    <t>SPRING VALLEY FRUIT S.A.C
NUTRIFISH TRADING S.A.C</t>
  </si>
  <si>
    <t>2026-5691</t>
  </si>
  <si>
    <t xml:space="preserve">2026-5921 </t>
  </si>
  <si>
    <t>INVERSIONES HATUN FISH S.R.L.</t>
  </si>
  <si>
    <t>2026-5970</t>
  </si>
  <si>
    <t>2026-5972</t>
  </si>
  <si>
    <t>SURTIFOODS PERU S.A.C</t>
  </si>
  <si>
    <t>2026-5973
2026-5999</t>
  </si>
  <si>
    <t>2026-5738</t>
  </si>
  <si>
    <t>2026-6304</t>
  </si>
  <si>
    <t>2026-6306</t>
  </si>
  <si>
    <t>2026-6332</t>
  </si>
  <si>
    <t>2026-6110</t>
  </si>
  <si>
    <t>2026-6533</t>
  </si>
  <si>
    <t>2026-6559</t>
  </si>
  <si>
    <t>2026-6605</t>
  </si>
  <si>
    <t>2026-6560</t>
  </si>
  <si>
    <t>2026-6685</t>
  </si>
  <si>
    <t>CORPORACION PESQUERA APOLO SAC</t>
  </si>
  <si>
    <t>2026-6684</t>
  </si>
  <si>
    <t>VALCO TRADE S.A.C.</t>
  </si>
  <si>
    <t>2026-6636</t>
  </si>
  <si>
    <t>SURTIFOODS PERÚ S.A.C.</t>
  </si>
  <si>
    <t>2026-6606</t>
  </si>
  <si>
    <t>2026-6812</t>
  </si>
  <si>
    <t xml:space="preserve">CORPORACION PESQUERA APOLO S.A.C. </t>
  </si>
  <si>
    <t>PESQUERA OP7 &amp; BELL S.A.C. / OP7 &amp; BELL
S.A.C.</t>
  </si>
  <si>
    <t>2026-6797</t>
  </si>
  <si>
    <t>2026-6815</t>
  </si>
  <si>
    <t xml:space="preserve"> </t>
  </si>
  <si>
    <t>2026-6895</t>
  </si>
  <si>
    <t>YURIMAGUAS</t>
  </si>
  <si>
    <t>INVERSIONES HATUN FISH S.R.L</t>
  </si>
  <si>
    <t>2026-6915</t>
  </si>
  <si>
    <t xml:space="preserve"> 2026-6945</t>
  </si>
  <si>
    <t>2026-6984</t>
  </si>
  <si>
    <t>sandra</t>
  </si>
  <si>
    <t>2026-6817</t>
  </si>
  <si>
    <t>2026-7061</t>
  </si>
  <si>
    <t>2026-7105</t>
  </si>
  <si>
    <t>OSCAR</t>
  </si>
  <si>
    <t>RENDIDO</t>
  </si>
  <si>
    <t>sandra/JIMMY</t>
  </si>
  <si>
    <t>2026-6916</t>
  </si>
  <si>
    <t>DEVOLUCION 2</t>
  </si>
  <si>
    <t xml:space="preserve">INVERSIONES HATUN FISH S.R.L. </t>
  </si>
  <si>
    <t>2026-7246</t>
  </si>
  <si>
    <t xml:space="preserve">DEVOLUCIÓN 3 SOLES </t>
  </si>
  <si>
    <t xml:space="preserve">DEVOLUCIÓN 9 SOLES </t>
  </si>
  <si>
    <t xml:space="preserve">DEVOLUCIÓN 1 SOL </t>
  </si>
  <si>
    <t>DEVOLUCIÓN 2.3 SOLES</t>
  </si>
  <si>
    <t>09/08/20269</t>
  </si>
  <si>
    <t>07/08/20268</t>
  </si>
  <si>
    <t>04-07/08/2026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</si>
</sst>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S/.&quot;\ #,##0.00;[Red]&quot;S/.&quot;\ \-#,##0.00"/>
    <numFmt numFmtId="165" formatCode="_ &quot;S/.&quot;\ * #,##0.00_ ;_ &quot;S/.&quot;\ * \-#,##0.00_ ;_ &quot;S/.&quot;\ * &quot;-&quot;??_ ;_ @_ "/>
    <numFmt numFmtId="166" formatCode="&quot;S/.&quot;\ #,##0.00"/>
    <numFmt numFmtId="167" formatCode="&quot;S/&quot;\ #,##0.00"/>
  </numFmts>
  <fonts count="31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9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0"/>
      <name val="Calibri"/>
      <family val="2"/>
    </font>
    <font>
      <sz val="8"/>
      <name val="Arial"/>
      <family val="2"/>
    </font>
    <font>
      <sz val="11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Calibri"/>
      <family val="2"/>
    </font>
    <font>
      <sz val="12"/>
      <color indexed="81"/>
      <name val="Tahoma"/>
      <family val="2"/>
    </font>
    <font>
      <sz val="11"/>
      <name val="Aptos"/>
      <family val="2"/>
    </font>
    <font>
      <sz val="10"/>
      <color rgb="FF333333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Calibri"/>
      <family val="2"/>
    </font>
    <font>
      <u/>
      <sz val="11"/>
      <color theme="1"/>
      <name val="Calibri"/>
      <family val="2"/>
    </font>
    <font>
      <b/>
      <sz val="11"/>
      <name val="Calibri"/>
      <family val="2"/>
    </font>
    <font>
      <sz val="8"/>
      <name val="Arial"/>
      <family val="2"/>
    </font>
    <font>
      <sz val="9"/>
      <name val="Calibri"/>
      <family val="2"/>
    </font>
    <font>
      <sz val="10"/>
      <name val="Calibri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1"/>
      <color indexed="8"/>
      <name val="Calibri"/>
      <family val="2"/>
    </font>
    <font>
      <sz val="9"/>
      <color theme="1"/>
      <name val="Calibri"/>
      <family val="2"/>
      <scheme val="major"/>
    </font>
    <font>
      <b/>
      <sz val="11"/>
      <color rgb="FF002060"/>
      <name val="Calibri"/>
      <family val="2"/>
    </font>
    <font>
      <b/>
      <sz val="11"/>
      <color rgb="FF00206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C5E0B3"/>
        <bgColor rgb="FFC5E0B3"/>
      </patternFill>
    </fill>
    <fill>
      <patternFill patternType="solid">
        <fgColor rgb="FFFFEB9C"/>
        <bgColor rgb="FFFFEB9C"/>
      </patternFill>
    </fill>
    <fill>
      <patternFill patternType="solid">
        <fgColor rgb="FF0070C0"/>
        <bgColor rgb="FF0070C0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C5E0B3"/>
      </patternFill>
    </fill>
    <fill>
      <patternFill patternType="solid">
        <fgColor rgb="FF92D050"/>
        <bgColor theme="0"/>
      </patternFill>
    </fill>
    <fill>
      <patternFill patternType="solid">
        <fgColor theme="9"/>
        <bgColor indexed="64"/>
      </patternFill>
    </fill>
    <fill>
      <patternFill patternType="solid">
        <fgColor theme="9"/>
        <bgColor rgb="FFC5E0B3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rgb="FFC5E0B3"/>
      </patternFill>
    </fill>
    <fill>
      <patternFill patternType="solid">
        <fgColor theme="0"/>
        <bgColor rgb="FFC5E0B3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C5E0B3"/>
      </patternFill>
    </fill>
    <fill>
      <patternFill patternType="solid">
        <fgColor rgb="FFFFFF00"/>
        <bgColor rgb="FFC5E0B3"/>
      </patternFill>
    </fill>
    <fill>
      <patternFill patternType="solid">
        <fgColor rgb="FFC00000"/>
        <bgColor indexed="64"/>
      </patternFill>
    </fill>
    <fill>
      <patternFill patternType="solid">
        <fgColor rgb="FFC00000"/>
        <bgColor rgb="FFC5E0B3"/>
      </patternFill>
    </fill>
  </fills>
  <borders count="4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3"/>
    <xf numFmtId="0" fontId="1" fillId="0" borderId="3"/>
    <xf numFmtId="0" fontId="27" fillId="0" borderId="3" applyBorder="0" applyProtection="0"/>
    <xf numFmtId="0" fontId="1" fillId="0" borderId="3"/>
  </cellStyleXfs>
  <cellXfs count="381">
    <xf numFmtId="0" fontId="0" fillId="0" borderId="0" xfId="0"/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/>
    </xf>
    <xf numFmtId="167" fontId="5" fillId="3" borderId="2" xfId="0" applyNumberFormat="1" applyFont="1" applyFill="1" applyBorder="1" applyAlignment="1">
      <alignment vertical="center"/>
    </xf>
    <xf numFmtId="167" fontId="3" fillId="0" borderId="2" xfId="0" applyNumberFormat="1" applyFont="1" applyBorder="1" applyAlignment="1">
      <alignment horizontal="center" vertical="center"/>
    </xf>
    <xf numFmtId="4" fontId="3" fillId="0" borderId="2" xfId="0" applyNumberFormat="1" applyFont="1" applyBorder="1" applyAlignment="1">
      <alignment horizontal="righ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2" xfId="0" applyFont="1" applyFill="1" applyBorder="1"/>
    <xf numFmtId="1" fontId="5" fillId="0" borderId="0" xfId="0" applyNumberFormat="1" applyFont="1" applyAlignment="1">
      <alignment horizontal="center"/>
    </xf>
    <xf numFmtId="1" fontId="5" fillId="0" borderId="0" xfId="0" applyNumberFormat="1" applyFont="1"/>
    <xf numFmtId="0" fontId="5" fillId="0" borderId="2" xfId="0" applyFont="1" applyBorder="1"/>
    <xf numFmtId="49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166" fontId="5" fillId="0" borderId="2" xfId="0" applyNumberFormat="1" applyFont="1" applyBorder="1" applyAlignment="1">
      <alignment horizontal="center"/>
    </xf>
    <xf numFmtId="14" fontId="5" fillId="0" borderId="2" xfId="0" applyNumberFormat="1" applyFont="1" applyBorder="1"/>
    <xf numFmtId="1" fontId="5" fillId="0" borderId="0" xfId="0" applyNumberFormat="1" applyFont="1" applyAlignment="1">
      <alignment horizontal="center" vertical="center"/>
    </xf>
    <xf numFmtId="167" fontId="5" fillId="0" borderId="2" xfId="0" applyNumberFormat="1" applyFont="1" applyBorder="1" applyAlignment="1">
      <alignment horizontal="center"/>
    </xf>
    <xf numFmtId="49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14" fontId="5" fillId="0" borderId="2" xfId="0" applyNumberFormat="1" applyFont="1" applyBorder="1" applyAlignment="1">
      <alignment horizontal="center" vertical="center"/>
    </xf>
    <xf numFmtId="166" fontId="5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0" fontId="5" fillId="0" borderId="0" xfId="0" applyFont="1"/>
    <xf numFmtId="0" fontId="5" fillId="0" borderId="2" xfId="0" applyFont="1" applyBorder="1" applyAlignment="1">
      <alignment horizontal="left"/>
    </xf>
    <xf numFmtId="0" fontId="5" fillId="0" borderId="9" xfId="0" applyFont="1" applyBorder="1"/>
    <xf numFmtId="0" fontId="5" fillId="0" borderId="10" xfId="0" applyFont="1" applyBorder="1"/>
    <xf numFmtId="0" fontId="5" fillId="0" borderId="8" xfId="0" applyFont="1" applyBorder="1"/>
    <xf numFmtId="0" fontId="7" fillId="0" borderId="0" xfId="0" applyFont="1" applyAlignment="1">
      <alignment horizontal="center"/>
    </xf>
    <xf numFmtId="0" fontId="5" fillId="0" borderId="2" xfId="0" applyFont="1" applyBorder="1" applyAlignment="1">
      <alignment vertical="center"/>
    </xf>
    <xf numFmtId="0" fontId="8" fillId="0" borderId="2" xfId="0" applyFont="1" applyBorder="1" applyAlignment="1">
      <alignment vertical="center" wrapText="1"/>
    </xf>
    <xf numFmtId="165" fontId="5" fillId="0" borderId="2" xfId="0" applyNumberFormat="1" applyFont="1" applyBorder="1"/>
    <xf numFmtId="0" fontId="7" fillId="0" borderId="1" xfId="0" applyFont="1" applyBorder="1" applyAlignment="1">
      <alignment horizontal="center"/>
    </xf>
    <xf numFmtId="0" fontId="7" fillId="0" borderId="2" xfId="0" applyFont="1" applyBorder="1"/>
    <xf numFmtId="0" fontId="5" fillId="0" borderId="1" xfId="0" applyFont="1" applyBorder="1" applyAlignment="1">
      <alignment horizontal="center"/>
    </xf>
    <xf numFmtId="0" fontId="3" fillId="6" borderId="2" xfId="0" applyFont="1" applyFill="1" applyBorder="1" applyAlignment="1">
      <alignment horizontal="left" vertical="center"/>
    </xf>
    <xf numFmtId="0" fontId="3" fillId="6" borderId="0" xfId="0" applyFont="1" applyFill="1" applyAlignment="1">
      <alignment vertical="center"/>
    </xf>
    <xf numFmtId="0" fontId="0" fillId="6" borderId="0" xfId="0" applyFill="1"/>
    <xf numFmtId="0" fontId="9" fillId="5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5" fontId="5" fillId="0" borderId="2" xfId="0" applyNumberFormat="1" applyFont="1" applyBorder="1" applyAlignment="1">
      <alignment horizontal="center"/>
    </xf>
    <xf numFmtId="0" fontId="11" fillId="0" borderId="11" xfId="0" applyFont="1" applyBorder="1"/>
    <xf numFmtId="165" fontId="5" fillId="6" borderId="2" xfId="0" applyNumberFormat="1" applyFont="1" applyFill="1" applyBorder="1" applyAlignment="1">
      <alignment vertical="center"/>
    </xf>
    <xf numFmtId="0" fontId="11" fillId="0" borderId="11" xfId="0" applyFont="1" applyBorder="1" applyAlignment="1">
      <alignment vertical="center"/>
    </xf>
    <xf numFmtId="49" fontId="3" fillId="7" borderId="2" xfId="0" applyNumberFormat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16" fontId="3" fillId="7" borderId="2" xfId="0" applyNumberFormat="1" applyFont="1" applyFill="1" applyBorder="1" applyAlignment="1">
      <alignment horizontal="center" vertical="center"/>
    </xf>
    <xf numFmtId="165" fontId="3" fillId="7" borderId="2" xfId="0" applyNumberFormat="1" applyFont="1" applyFill="1" applyBorder="1" applyAlignment="1">
      <alignment horizontal="center" vertical="center"/>
    </xf>
    <xf numFmtId="167" fontId="5" fillId="8" borderId="2" xfId="0" applyNumberFormat="1" applyFont="1" applyFill="1" applyBorder="1" applyAlignment="1">
      <alignment vertical="center"/>
    </xf>
    <xf numFmtId="0" fontId="6" fillId="7" borderId="8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49" fontId="6" fillId="7" borderId="2" xfId="0" applyNumberFormat="1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16" fontId="6" fillId="7" borderId="2" xfId="0" applyNumberFormat="1" applyFont="1" applyFill="1" applyBorder="1" applyAlignment="1">
      <alignment horizontal="center" vertical="center"/>
    </xf>
    <xf numFmtId="165" fontId="6" fillId="9" borderId="2" xfId="0" applyNumberFormat="1" applyFont="1" applyFill="1" applyBorder="1" applyAlignment="1">
      <alignment horizontal="center" vertical="center"/>
    </xf>
    <xf numFmtId="165" fontId="6" fillId="7" borderId="2" xfId="0" applyNumberFormat="1" applyFont="1" applyFill="1" applyBorder="1" applyAlignment="1">
      <alignment horizontal="center" vertical="center"/>
    </xf>
    <xf numFmtId="167" fontId="6" fillId="8" borderId="2" xfId="0" applyNumberFormat="1" applyFont="1" applyFill="1" applyBorder="1" applyAlignment="1">
      <alignment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/>
    </xf>
    <xf numFmtId="16" fontId="5" fillId="7" borderId="2" xfId="0" applyNumberFormat="1" applyFont="1" applyFill="1" applyBorder="1" applyAlignment="1">
      <alignment horizontal="center" vertical="center"/>
    </xf>
    <xf numFmtId="0" fontId="5" fillId="7" borderId="2" xfId="0" applyFont="1" applyFill="1" applyBorder="1"/>
    <xf numFmtId="165" fontId="5" fillId="7" borderId="2" xfId="0" applyNumberFormat="1" applyFont="1" applyFill="1" applyBorder="1"/>
    <xf numFmtId="165" fontId="5" fillId="7" borderId="2" xfId="0" applyNumberFormat="1" applyFont="1" applyFill="1" applyBorder="1" applyAlignment="1">
      <alignment vertical="center"/>
    </xf>
    <xf numFmtId="0" fontId="5" fillId="7" borderId="2" xfId="0" applyFont="1" applyFill="1" applyBorder="1" applyAlignment="1">
      <alignment vertical="center"/>
    </xf>
    <xf numFmtId="49" fontId="6" fillId="7" borderId="2" xfId="0" applyNumberFormat="1" applyFont="1" applyFill="1" applyBorder="1" applyAlignment="1">
      <alignment horizontal="center" vertical="center" wrapText="1"/>
    </xf>
    <xf numFmtId="14" fontId="5" fillId="7" borderId="2" xfId="0" applyNumberFormat="1" applyFont="1" applyFill="1" applyBorder="1" applyAlignment="1">
      <alignment horizontal="center"/>
    </xf>
    <xf numFmtId="16" fontId="5" fillId="7" borderId="2" xfId="0" applyNumberFormat="1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5" fillId="10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/>
    </xf>
    <xf numFmtId="16" fontId="5" fillId="10" borderId="2" xfId="0" applyNumberFormat="1" applyFont="1" applyFill="1" applyBorder="1" applyAlignment="1">
      <alignment horizontal="center" vertical="center"/>
    </xf>
    <xf numFmtId="0" fontId="5" fillId="10" borderId="2" xfId="0" applyFont="1" applyFill="1" applyBorder="1"/>
    <xf numFmtId="16" fontId="5" fillId="10" borderId="2" xfId="0" applyNumberFormat="1" applyFont="1" applyFill="1" applyBorder="1" applyAlignment="1">
      <alignment horizontal="center"/>
    </xf>
    <xf numFmtId="165" fontId="5" fillId="10" borderId="2" xfId="0" applyNumberFormat="1" applyFont="1" applyFill="1" applyBorder="1"/>
    <xf numFmtId="165" fontId="5" fillId="10" borderId="2" xfId="0" applyNumberFormat="1" applyFont="1" applyFill="1" applyBorder="1" applyAlignment="1">
      <alignment vertical="center"/>
    </xf>
    <xf numFmtId="0" fontId="8" fillId="0" borderId="0" xfId="0" applyFont="1"/>
    <xf numFmtId="0" fontId="8" fillId="0" borderId="11" xfId="0" applyFont="1" applyBorder="1"/>
    <xf numFmtId="0" fontId="5" fillId="0" borderId="14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1" fillId="0" borderId="0" xfId="0" applyFont="1"/>
    <xf numFmtId="0" fontId="3" fillId="6" borderId="2" xfId="0" applyFont="1" applyFill="1" applyBorder="1" applyAlignment="1">
      <alignment horizontal="center" vertical="center"/>
    </xf>
    <xf numFmtId="49" fontId="6" fillId="10" borderId="2" xfId="0" applyNumberFormat="1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16" fontId="3" fillId="10" borderId="2" xfId="0" applyNumberFormat="1" applyFont="1" applyFill="1" applyBorder="1" applyAlignment="1">
      <alignment horizontal="center" vertical="center"/>
    </xf>
    <xf numFmtId="165" fontId="3" fillId="10" borderId="2" xfId="0" applyNumberFormat="1" applyFont="1" applyFill="1" applyBorder="1" applyAlignment="1">
      <alignment horizontal="center" vertical="center"/>
    </xf>
    <xf numFmtId="167" fontId="5" fillId="11" borderId="2" xfId="0" applyNumberFormat="1" applyFont="1" applyFill="1" applyBorder="1" applyAlignment="1">
      <alignment vertical="center"/>
    </xf>
    <xf numFmtId="0" fontId="3" fillId="10" borderId="2" xfId="0" applyFont="1" applyFill="1" applyBorder="1" applyAlignment="1">
      <alignment horizontal="center" vertical="center" wrapText="1"/>
    </xf>
    <xf numFmtId="16" fontId="3" fillId="10" borderId="2" xfId="0" applyNumberFormat="1" applyFont="1" applyFill="1" applyBorder="1" applyAlignment="1">
      <alignment horizontal="center" vertical="center" wrapText="1"/>
    </xf>
    <xf numFmtId="14" fontId="3" fillId="10" borderId="2" xfId="0" applyNumberFormat="1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 wrapText="1"/>
    </xf>
    <xf numFmtId="167" fontId="5" fillId="10" borderId="2" xfId="0" applyNumberFormat="1" applyFont="1" applyFill="1" applyBorder="1" applyAlignment="1">
      <alignment vertical="center"/>
    </xf>
    <xf numFmtId="0" fontId="5" fillId="10" borderId="2" xfId="0" applyFont="1" applyFill="1" applyBorder="1" applyAlignment="1">
      <alignment vertical="center"/>
    </xf>
    <xf numFmtId="0" fontId="5" fillId="10" borderId="2" xfId="0" applyFont="1" applyFill="1" applyBorder="1" applyAlignment="1">
      <alignment horizontal="center" vertical="center" wrapText="1"/>
    </xf>
    <xf numFmtId="0" fontId="5" fillId="10" borderId="16" xfId="0" applyFont="1" applyFill="1" applyBorder="1" applyAlignment="1">
      <alignment horizontal="center" vertical="center" wrapText="1"/>
    </xf>
    <xf numFmtId="0" fontId="11" fillId="10" borderId="18" xfId="0" applyFont="1" applyFill="1" applyBorder="1"/>
    <xf numFmtId="16" fontId="5" fillId="10" borderId="19" xfId="0" applyNumberFormat="1" applyFont="1" applyFill="1" applyBorder="1" applyAlignment="1">
      <alignment horizontal="center" vertical="center"/>
    </xf>
    <xf numFmtId="0" fontId="5" fillId="10" borderId="21" xfId="0" applyFont="1" applyFill="1" applyBorder="1" applyAlignment="1">
      <alignment horizontal="center"/>
    </xf>
    <xf numFmtId="0" fontId="11" fillId="10" borderId="3" xfId="0" applyFont="1" applyFill="1" applyBorder="1"/>
    <xf numFmtId="0" fontId="5" fillId="10" borderId="23" xfId="0" applyFont="1" applyFill="1" applyBorder="1" applyAlignment="1">
      <alignment horizontal="center"/>
    </xf>
    <xf numFmtId="0" fontId="11" fillId="10" borderId="25" xfId="0" applyFont="1" applyFill="1" applyBorder="1"/>
    <xf numFmtId="16" fontId="5" fillId="10" borderId="26" xfId="0" applyNumberFormat="1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 vertical="center"/>
    </xf>
    <xf numFmtId="0" fontId="5" fillId="10" borderId="17" xfId="0" applyFont="1" applyFill="1" applyBorder="1" applyAlignment="1">
      <alignment vertical="center"/>
    </xf>
    <xf numFmtId="0" fontId="5" fillId="10" borderId="21" xfId="0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vertical="center"/>
    </xf>
    <xf numFmtId="0" fontId="5" fillId="10" borderId="28" xfId="0" applyFont="1" applyFill="1" applyBorder="1" applyAlignment="1">
      <alignment horizontal="center" vertical="center"/>
    </xf>
    <xf numFmtId="16" fontId="5" fillId="10" borderId="9" xfId="0" applyNumberFormat="1" applyFont="1" applyFill="1" applyBorder="1" applyAlignment="1">
      <alignment horizontal="center" vertical="center"/>
    </xf>
    <xf numFmtId="165" fontId="6" fillId="10" borderId="2" xfId="0" applyNumberFormat="1" applyFont="1" applyFill="1" applyBorder="1" applyAlignment="1">
      <alignment horizontal="center" vertical="center"/>
    </xf>
    <xf numFmtId="0" fontId="2" fillId="10" borderId="11" xfId="0" applyFont="1" applyFill="1" applyBorder="1" applyAlignment="1">
      <alignment horizontal="center" vertical="center"/>
    </xf>
    <xf numFmtId="0" fontId="2" fillId="10" borderId="11" xfId="0" applyFont="1" applyFill="1" applyBorder="1" applyAlignment="1">
      <alignment horizontal="left" vertical="center"/>
    </xf>
    <xf numFmtId="16" fontId="2" fillId="10" borderId="11" xfId="0" applyNumberFormat="1" applyFont="1" applyFill="1" applyBorder="1" applyAlignment="1">
      <alignment horizontal="center"/>
    </xf>
    <xf numFmtId="0" fontId="16" fillId="10" borderId="11" xfId="0" applyFont="1" applyFill="1" applyBorder="1" applyAlignment="1">
      <alignment horizontal="left" vertical="center"/>
    </xf>
    <xf numFmtId="0" fontId="11" fillId="0" borderId="0" xfId="0" applyFont="1" applyAlignment="1">
      <alignment wrapText="1"/>
    </xf>
    <xf numFmtId="167" fontId="7" fillId="0" borderId="2" xfId="0" applyNumberFormat="1" applyFont="1" applyBorder="1" applyAlignment="1">
      <alignment horizontal="right" vertical="center"/>
    </xf>
    <xf numFmtId="0" fontId="0" fillId="0" borderId="0" xfId="0" applyAlignment="1">
      <alignment wrapText="1"/>
    </xf>
    <xf numFmtId="0" fontId="4" fillId="2" borderId="5" xfId="0" applyFont="1" applyFill="1" applyBorder="1" applyAlignment="1">
      <alignment horizontal="right" vertical="center" wrapText="1"/>
    </xf>
    <xf numFmtId="165" fontId="7" fillId="7" borderId="2" xfId="0" applyNumberFormat="1" applyFont="1" applyFill="1" applyBorder="1" applyAlignment="1">
      <alignment horizontal="right" vertical="center"/>
    </xf>
    <xf numFmtId="165" fontId="14" fillId="7" borderId="2" xfId="0" applyNumberFormat="1" applyFont="1" applyFill="1" applyBorder="1" applyAlignment="1">
      <alignment horizontal="right" vertical="center"/>
    </xf>
    <xf numFmtId="165" fontId="7" fillId="10" borderId="2" xfId="0" applyNumberFormat="1" applyFont="1" applyFill="1" applyBorder="1" applyAlignment="1">
      <alignment horizontal="right" vertical="center"/>
    </xf>
    <xf numFmtId="0" fontId="0" fillId="0" borderId="0" xfId="0" applyAlignment="1">
      <alignment horizontal="right"/>
    </xf>
    <xf numFmtId="0" fontId="0" fillId="10" borderId="0" xfId="0" applyFill="1" applyAlignment="1">
      <alignment horizontal="center"/>
    </xf>
    <xf numFmtId="0" fontId="3" fillId="10" borderId="9" xfId="0" applyFont="1" applyFill="1" applyBorder="1" applyAlignment="1">
      <alignment horizontal="center" vertical="center"/>
    </xf>
    <xf numFmtId="165" fontId="3" fillId="10" borderId="9" xfId="0" applyNumberFormat="1" applyFont="1" applyFill="1" applyBorder="1" applyAlignment="1">
      <alignment horizontal="center" vertical="center"/>
    </xf>
    <xf numFmtId="49" fontId="6" fillId="10" borderId="1" xfId="0" applyNumberFormat="1" applyFont="1" applyFill="1" applyBorder="1" applyAlignment="1">
      <alignment horizontal="center" vertical="center"/>
    </xf>
    <xf numFmtId="0" fontId="8" fillId="10" borderId="11" xfId="0" applyFont="1" applyFill="1" applyBorder="1" applyAlignment="1">
      <alignment horizontal="center"/>
    </xf>
    <xf numFmtId="0" fontId="3" fillId="10" borderId="14" xfId="0" applyFont="1" applyFill="1" applyBorder="1" applyAlignment="1">
      <alignment horizontal="center" vertical="center"/>
    </xf>
    <xf numFmtId="0" fontId="0" fillId="10" borderId="0" xfId="0" applyFill="1"/>
    <xf numFmtId="0" fontId="0" fillId="10" borderId="11" xfId="0" applyFill="1" applyBorder="1"/>
    <xf numFmtId="0" fontId="3" fillId="10" borderId="10" xfId="0" applyFont="1" applyFill="1" applyBorder="1" applyAlignment="1">
      <alignment horizontal="center" vertical="center"/>
    </xf>
    <xf numFmtId="49" fontId="6" fillId="10" borderId="15" xfId="0" applyNumberFormat="1" applyFont="1" applyFill="1" applyBorder="1" applyAlignment="1">
      <alignment horizontal="center" vertical="center"/>
    </xf>
    <xf numFmtId="165" fontId="3" fillId="10" borderId="11" xfId="0" applyNumberFormat="1" applyFont="1" applyFill="1" applyBorder="1" applyAlignment="1">
      <alignment horizontal="center" vertical="center"/>
    </xf>
    <xf numFmtId="49" fontId="6" fillId="10" borderId="14" xfId="0" applyNumberFormat="1" applyFont="1" applyFill="1" applyBorder="1" applyAlignment="1">
      <alignment horizontal="center" vertical="center"/>
    </xf>
    <xf numFmtId="167" fontId="7" fillId="10" borderId="2" xfId="0" applyNumberFormat="1" applyFont="1" applyFill="1" applyBorder="1" applyAlignment="1">
      <alignment horizontal="right" vertical="center"/>
    </xf>
    <xf numFmtId="14" fontId="3" fillId="10" borderId="2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4" fontId="4" fillId="2" borderId="5" xfId="0" applyNumberFormat="1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vertical="center"/>
    </xf>
    <xf numFmtId="0" fontId="11" fillId="10" borderId="0" xfId="0" applyFont="1" applyFill="1" applyAlignment="1">
      <alignment horizontal="center" vertical="center"/>
    </xf>
    <xf numFmtId="167" fontId="5" fillId="11" borderId="2" xfId="0" applyNumberFormat="1" applyFont="1" applyFill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/>
    </xf>
    <xf numFmtId="0" fontId="0" fillId="0" borderId="32" xfId="0" pivotButton="1" applyBorder="1"/>
    <xf numFmtId="0" fontId="0" fillId="0" borderId="33" xfId="0" applyBorder="1"/>
    <xf numFmtId="0" fontId="0" fillId="0" borderId="34" xfId="0" applyBorder="1"/>
    <xf numFmtId="49" fontId="0" fillId="0" borderId="32" xfId="0" applyNumberFormat="1" applyBorder="1"/>
    <xf numFmtId="49" fontId="0" fillId="0" borderId="35" xfId="0" applyNumberFormat="1" applyBorder="1"/>
    <xf numFmtId="49" fontId="0" fillId="0" borderId="36" xfId="0" applyNumberFormat="1" applyBorder="1"/>
    <xf numFmtId="0" fontId="0" fillId="0" borderId="32" xfId="0" applyBorder="1"/>
    <xf numFmtId="0" fontId="0" fillId="0" borderId="37" xfId="0" applyBorder="1"/>
    <xf numFmtId="0" fontId="0" fillId="0" borderId="39" xfId="0" applyBorder="1"/>
    <xf numFmtId="0" fontId="0" fillId="0" borderId="39" xfId="0" pivotButton="1" applyBorder="1"/>
    <xf numFmtId="0" fontId="5" fillId="12" borderId="2" xfId="0" applyFont="1" applyFill="1" applyBorder="1" applyAlignment="1">
      <alignment horizontal="center"/>
    </xf>
    <xf numFmtId="0" fontId="5" fillId="10" borderId="9" xfId="0" applyFont="1" applyFill="1" applyBorder="1" applyAlignment="1">
      <alignment horizontal="center" vertical="center"/>
    </xf>
    <xf numFmtId="0" fontId="5" fillId="10" borderId="9" xfId="0" applyFont="1" applyFill="1" applyBorder="1" applyAlignment="1">
      <alignment horizontal="center"/>
    </xf>
    <xf numFmtId="0" fontId="5" fillId="10" borderId="9" xfId="0" applyFont="1" applyFill="1" applyBorder="1" applyAlignment="1">
      <alignment vertical="center"/>
    </xf>
    <xf numFmtId="165" fontId="5" fillId="10" borderId="9" xfId="0" applyNumberFormat="1" applyFont="1" applyFill="1" applyBorder="1"/>
    <xf numFmtId="165" fontId="5" fillId="10" borderId="9" xfId="0" applyNumberFormat="1" applyFont="1" applyFill="1" applyBorder="1" applyAlignment="1">
      <alignment vertical="center"/>
    </xf>
    <xf numFmtId="0" fontId="5" fillId="10" borderId="8" xfId="0" applyFont="1" applyFill="1" applyBorder="1" applyAlignment="1">
      <alignment horizontal="center"/>
    </xf>
    <xf numFmtId="0" fontId="5" fillId="10" borderId="8" xfId="0" applyFont="1" applyFill="1" applyBorder="1" applyAlignment="1">
      <alignment horizontal="center" vertical="center"/>
    </xf>
    <xf numFmtId="16" fontId="5" fillId="10" borderId="8" xfId="0" applyNumberFormat="1" applyFont="1" applyFill="1" applyBorder="1" applyAlignment="1">
      <alignment horizontal="center" vertical="center"/>
    </xf>
    <xf numFmtId="16" fontId="5" fillId="10" borderId="8" xfId="0" applyNumberFormat="1" applyFont="1" applyFill="1" applyBorder="1" applyAlignment="1">
      <alignment horizontal="center"/>
    </xf>
    <xf numFmtId="0" fontId="5" fillId="10" borderId="8" xfId="0" applyFont="1" applyFill="1" applyBorder="1"/>
    <xf numFmtId="165" fontId="5" fillId="10" borderId="8" xfId="0" applyNumberFormat="1" applyFont="1" applyFill="1" applyBorder="1"/>
    <xf numFmtId="165" fontId="5" fillId="10" borderId="8" xfId="0" applyNumberFormat="1" applyFont="1" applyFill="1" applyBorder="1" applyAlignment="1">
      <alignment vertical="center"/>
    </xf>
    <xf numFmtId="0" fontId="5" fillId="10" borderId="2" xfId="0" applyFont="1" applyFill="1" applyBorder="1" applyAlignment="1">
      <alignment horizontal="left" vertical="center" wrapText="1"/>
    </xf>
    <xf numFmtId="165" fontId="5" fillId="10" borderId="2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top" wrapText="1"/>
    </xf>
    <xf numFmtId="165" fontId="2" fillId="10" borderId="13" xfId="0" applyNumberFormat="1" applyFont="1" applyFill="1" applyBorder="1" applyAlignment="1">
      <alignment horizontal="center" vertical="center"/>
    </xf>
    <xf numFmtId="165" fontId="2" fillId="10" borderId="12" xfId="0" applyNumberFormat="1" applyFont="1" applyFill="1" applyBorder="1" applyAlignment="1">
      <alignment horizontal="center" vertical="center"/>
    </xf>
    <xf numFmtId="165" fontId="2" fillId="10" borderId="31" xfId="0" applyNumberFormat="1" applyFont="1" applyFill="1" applyBorder="1" applyAlignment="1">
      <alignment horizontal="center" vertical="center"/>
    </xf>
    <xf numFmtId="165" fontId="5" fillId="10" borderId="40" xfId="0" applyNumberFormat="1" applyFont="1" applyFill="1" applyBorder="1" applyAlignment="1">
      <alignment horizontal="center" vertical="center"/>
    </xf>
    <xf numFmtId="165" fontId="5" fillId="10" borderId="41" xfId="0" applyNumberFormat="1" applyFont="1" applyFill="1" applyBorder="1" applyAlignment="1">
      <alignment horizontal="center" vertical="center"/>
    </xf>
    <xf numFmtId="167" fontId="5" fillId="7" borderId="2" xfId="0" applyNumberFormat="1" applyFont="1" applyFill="1" applyBorder="1" applyAlignment="1">
      <alignment vertical="center"/>
    </xf>
    <xf numFmtId="14" fontId="3" fillId="7" borderId="2" xfId="0" applyNumberFormat="1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top" wrapText="1"/>
    </xf>
    <xf numFmtId="167" fontId="5" fillId="11" borderId="2" xfId="0" applyNumberFormat="1" applyFont="1" applyFill="1" applyBorder="1" applyAlignment="1">
      <alignment horizontal="right" vertical="center"/>
    </xf>
    <xf numFmtId="14" fontId="3" fillId="10" borderId="2" xfId="0" applyNumberFormat="1" applyFont="1" applyFill="1" applyBorder="1" applyAlignment="1">
      <alignment horizontal="center" vertical="top" wrapText="1"/>
    </xf>
    <xf numFmtId="14" fontId="5" fillId="10" borderId="2" xfId="0" applyNumberFormat="1" applyFont="1" applyFill="1" applyBorder="1" applyAlignment="1">
      <alignment horizontal="center"/>
    </xf>
    <xf numFmtId="0" fontId="5" fillId="10" borderId="8" xfId="0" applyFont="1" applyFill="1" applyBorder="1" applyAlignment="1">
      <alignment vertical="center"/>
    </xf>
    <xf numFmtId="14" fontId="3" fillId="1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4" fontId="5" fillId="12" borderId="2" xfId="0" applyNumberFormat="1" applyFont="1" applyFill="1" applyBorder="1" applyAlignment="1">
      <alignment horizontal="center"/>
    </xf>
    <xf numFmtId="0" fontId="0" fillId="12" borderId="0" xfId="0" applyFill="1"/>
    <xf numFmtId="0" fontId="0" fillId="10" borderId="0" xfId="0" applyFill="1" applyAlignment="1">
      <alignment horizontal="center" vertical="center"/>
    </xf>
    <xf numFmtId="14" fontId="5" fillId="10" borderId="2" xfId="0" applyNumberFormat="1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/>
    </xf>
    <xf numFmtId="167" fontId="3" fillId="12" borderId="0" xfId="0" applyNumberFormat="1" applyFont="1" applyFill="1" applyAlignment="1">
      <alignment vertical="center"/>
    </xf>
    <xf numFmtId="167" fontId="3" fillId="0" borderId="0" xfId="0" applyNumberFormat="1" applyFont="1" applyAlignment="1">
      <alignment vertical="center"/>
    </xf>
    <xf numFmtId="0" fontId="5" fillId="13" borderId="5" xfId="0" applyFont="1" applyFill="1" applyBorder="1" applyAlignment="1">
      <alignment horizontal="center" vertical="center" wrapText="1"/>
    </xf>
    <xf numFmtId="167" fontId="5" fillId="11" borderId="10" xfId="0" applyNumberFormat="1" applyFont="1" applyFill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4" fontId="3" fillId="0" borderId="11" xfId="0" applyNumberFormat="1" applyFont="1" applyBorder="1" applyAlignment="1">
      <alignment horizontal="center" vertical="center"/>
    </xf>
    <xf numFmtId="14" fontId="5" fillId="0" borderId="11" xfId="0" applyNumberFormat="1" applyFont="1" applyBorder="1" applyAlignment="1">
      <alignment horizontal="center"/>
    </xf>
    <xf numFmtId="49" fontId="6" fillId="10" borderId="9" xfId="0" applyNumberFormat="1" applyFont="1" applyFill="1" applyBorder="1" applyAlignment="1">
      <alignment horizontal="center" vertical="center"/>
    </xf>
    <xf numFmtId="0" fontId="3" fillId="10" borderId="9" xfId="0" applyFont="1" applyFill="1" applyBorder="1" applyAlignment="1">
      <alignment horizontal="center" vertical="center" wrapText="1"/>
    </xf>
    <xf numFmtId="167" fontId="7" fillId="10" borderId="9" xfId="0" applyNumberFormat="1" applyFont="1" applyFill="1" applyBorder="1" applyAlignment="1">
      <alignment horizontal="right" vertical="center"/>
    </xf>
    <xf numFmtId="167" fontId="5" fillId="11" borderId="9" xfId="0" applyNumberFormat="1" applyFont="1" applyFill="1" applyBorder="1" applyAlignment="1">
      <alignment vertical="center"/>
    </xf>
    <xf numFmtId="14" fontId="3" fillId="10" borderId="9" xfId="0" applyNumberFormat="1" applyFont="1" applyFill="1" applyBorder="1" applyAlignment="1">
      <alignment horizontal="center" vertical="center"/>
    </xf>
    <xf numFmtId="14" fontId="3" fillId="0" borderId="8" xfId="0" applyNumberFormat="1" applyFont="1" applyBorder="1" applyAlignment="1">
      <alignment horizontal="center" vertical="center"/>
    </xf>
    <xf numFmtId="49" fontId="6" fillId="10" borderId="11" xfId="0" applyNumberFormat="1" applyFont="1" applyFill="1" applyBorder="1" applyAlignment="1">
      <alignment horizontal="center" vertical="center"/>
    </xf>
    <xf numFmtId="0" fontId="3" fillId="10" borderId="11" xfId="0" applyFont="1" applyFill="1" applyBorder="1" applyAlignment="1">
      <alignment horizontal="center" vertical="center"/>
    </xf>
    <xf numFmtId="167" fontId="7" fillId="10" borderId="11" xfId="0" applyNumberFormat="1" applyFont="1" applyFill="1" applyBorder="1" applyAlignment="1">
      <alignment horizontal="right" vertical="center"/>
    </xf>
    <xf numFmtId="14" fontId="3" fillId="10" borderId="11" xfId="0" applyNumberFormat="1" applyFont="1" applyFill="1" applyBorder="1" applyAlignment="1">
      <alignment horizontal="center" vertical="center"/>
    </xf>
    <xf numFmtId="167" fontId="5" fillId="11" borderId="11" xfId="0" applyNumberFormat="1" applyFont="1" applyFill="1" applyBorder="1" applyAlignment="1">
      <alignment vertical="center"/>
    </xf>
    <xf numFmtId="49" fontId="6" fillId="10" borderId="8" xfId="0" applyNumberFormat="1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 wrapText="1"/>
    </xf>
    <xf numFmtId="0" fontId="3" fillId="10" borderId="8" xfId="0" applyFont="1" applyFill="1" applyBorder="1" applyAlignment="1">
      <alignment horizontal="center" vertical="center"/>
    </xf>
    <xf numFmtId="14" fontId="3" fillId="10" borderId="8" xfId="0" applyNumberFormat="1" applyFont="1" applyFill="1" applyBorder="1" applyAlignment="1">
      <alignment horizontal="center" vertical="center" wrapText="1"/>
    </xf>
    <xf numFmtId="165" fontId="3" fillId="10" borderId="8" xfId="0" applyNumberFormat="1" applyFont="1" applyFill="1" applyBorder="1" applyAlignment="1">
      <alignment horizontal="center" vertical="center"/>
    </xf>
    <xf numFmtId="167" fontId="5" fillId="11" borderId="8" xfId="0" applyNumberFormat="1" applyFont="1" applyFill="1" applyBorder="1" applyAlignment="1">
      <alignment vertical="center"/>
    </xf>
    <xf numFmtId="49" fontId="6" fillId="10" borderId="42" xfId="0" applyNumberFormat="1" applyFont="1" applyFill="1" applyBorder="1" applyAlignment="1">
      <alignment horizontal="center" vertical="center"/>
    </xf>
    <xf numFmtId="49" fontId="6" fillId="10" borderId="43" xfId="0" applyNumberFormat="1" applyFont="1" applyFill="1" applyBorder="1" applyAlignment="1">
      <alignment horizontal="center" vertical="center"/>
    </xf>
    <xf numFmtId="0" fontId="17" fillId="0" borderId="0" xfId="0" applyFont="1"/>
    <xf numFmtId="167" fontId="3" fillId="12" borderId="2" xfId="0" applyNumberFormat="1" applyFont="1" applyFill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/>
    </xf>
    <xf numFmtId="167" fontId="0" fillId="0" borderId="0" xfId="0" applyNumberFormat="1"/>
    <xf numFmtId="14" fontId="3" fillId="0" borderId="9" xfId="0" applyNumberFormat="1" applyFont="1" applyBorder="1" applyAlignment="1">
      <alignment horizontal="center" vertical="center"/>
    </xf>
    <xf numFmtId="0" fontId="3" fillId="10" borderId="2" xfId="0" applyFont="1" applyFill="1" applyBorder="1" applyAlignment="1">
      <alignment horizontal="left" vertical="center"/>
    </xf>
    <xf numFmtId="0" fontId="3" fillId="10" borderId="2" xfId="0" applyFont="1" applyFill="1" applyBorder="1" applyAlignment="1">
      <alignment horizontal="left" vertical="center" wrapText="1"/>
    </xf>
    <xf numFmtId="167" fontId="7" fillId="10" borderId="2" xfId="0" applyNumberFormat="1" applyFont="1" applyFill="1" applyBorder="1" applyAlignment="1">
      <alignment horizontal="right" vertical="center" wrapText="1"/>
    </xf>
    <xf numFmtId="16" fontId="3" fillId="6" borderId="0" xfId="0" applyNumberFormat="1" applyFont="1" applyFill="1" applyAlignment="1">
      <alignment vertical="center"/>
    </xf>
    <xf numFmtId="0" fontId="3" fillId="6" borderId="0" xfId="0" applyFont="1" applyFill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165" fontId="7" fillId="7" borderId="2" xfId="0" applyNumberFormat="1" applyFont="1" applyFill="1" applyBorder="1" applyAlignment="1">
      <alignment horizontal="center" vertical="center"/>
    </xf>
    <xf numFmtId="165" fontId="7" fillId="10" borderId="2" xfId="0" applyNumberFormat="1" applyFont="1" applyFill="1" applyBorder="1" applyAlignment="1">
      <alignment horizontal="center" vertical="center"/>
    </xf>
    <xf numFmtId="165" fontId="7" fillId="10" borderId="9" xfId="0" applyNumberFormat="1" applyFont="1" applyFill="1" applyBorder="1" applyAlignment="1">
      <alignment horizontal="center" vertical="center"/>
    </xf>
    <xf numFmtId="165" fontId="7" fillId="10" borderId="40" xfId="0" applyNumberFormat="1" applyFont="1" applyFill="1" applyBorder="1" applyAlignment="1">
      <alignment horizontal="center" vertical="center"/>
    </xf>
    <xf numFmtId="165" fontId="7" fillId="10" borderId="41" xfId="0" applyNumberFormat="1" applyFont="1" applyFill="1" applyBorder="1" applyAlignment="1">
      <alignment horizontal="center" vertical="center"/>
    </xf>
    <xf numFmtId="165" fontId="7" fillId="10" borderId="44" xfId="0" applyNumberFormat="1" applyFont="1" applyFill="1" applyBorder="1" applyAlignment="1">
      <alignment horizontal="center" vertical="center"/>
    </xf>
    <xf numFmtId="165" fontId="21" fillId="10" borderId="13" xfId="0" applyNumberFormat="1" applyFont="1" applyFill="1" applyBorder="1" applyAlignment="1">
      <alignment horizontal="center" vertical="center"/>
    </xf>
    <xf numFmtId="165" fontId="21" fillId="10" borderId="12" xfId="0" applyNumberFormat="1" applyFont="1" applyFill="1" applyBorder="1" applyAlignment="1">
      <alignment horizontal="center" vertical="center"/>
    </xf>
    <xf numFmtId="165" fontId="21" fillId="10" borderId="31" xfId="0" applyNumberFormat="1" applyFont="1" applyFill="1" applyBorder="1" applyAlignment="1">
      <alignment horizontal="center" vertical="center"/>
    </xf>
    <xf numFmtId="165" fontId="7" fillId="10" borderId="8" xfId="0" applyNumberFormat="1" applyFont="1" applyFill="1" applyBorder="1" applyAlignment="1">
      <alignment horizontal="center" vertical="center"/>
    </xf>
    <xf numFmtId="165" fontId="19" fillId="10" borderId="2" xfId="0" applyNumberFormat="1" applyFont="1" applyFill="1" applyBorder="1" applyAlignment="1">
      <alignment horizontal="center" vertical="center"/>
    </xf>
    <xf numFmtId="165" fontId="7" fillId="6" borderId="2" xfId="0" applyNumberFormat="1" applyFont="1" applyFill="1" applyBorder="1" applyAlignment="1">
      <alignment horizontal="center" vertical="center"/>
    </xf>
    <xf numFmtId="165" fontId="7" fillId="0" borderId="2" xfId="0" applyNumberFormat="1" applyFont="1" applyBorder="1" applyAlignment="1">
      <alignment horizontal="center"/>
    </xf>
    <xf numFmtId="0" fontId="18" fillId="0" borderId="0" xfId="0" applyFont="1" applyAlignment="1">
      <alignment horizontal="center"/>
    </xf>
    <xf numFmtId="0" fontId="5" fillId="6" borderId="2" xfId="0" applyFont="1" applyFill="1" applyBorder="1" applyAlignment="1">
      <alignment horizontal="center" vertical="center"/>
    </xf>
    <xf numFmtId="167" fontId="5" fillId="14" borderId="2" xfId="0" applyNumberFormat="1" applyFont="1" applyFill="1" applyBorder="1" applyAlignment="1">
      <alignment vertical="center"/>
    </xf>
    <xf numFmtId="14" fontId="5" fillId="10" borderId="2" xfId="0" applyNumberFormat="1" applyFont="1" applyFill="1" applyBorder="1" applyAlignment="1">
      <alignment horizontal="center" vertical="center"/>
    </xf>
    <xf numFmtId="167" fontId="7" fillId="15" borderId="2" xfId="0" applyNumberFormat="1" applyFont="1" applyFill="1" applyBorder="1" applyAlignment="1">
      <alignment horizontal="right" vertical="center"/>
    </xf>
    <xf numFmtId="167" fontId="5" fillId="16" borderId="2" xfId="0" applyNumberFormat="1" applyFont="1" applyFill="1" applyBorder="1" applyAlignment="1">
      <alignment vertical="center"/>
    </xf>
    <xf numFmtId="0" fontId="3" fillId="10" borderId="1" xfId="0" applyFont="1" applyFill="1" applyBorder="1" applyAlignment="1">
      <alignment horizontal="center" vertical="center"/>
    </xf>
    <xf numFmtId="165" fontId="19" fillId="10" borderId="2" xfId="0" applyNumberFormat="1" applyFont="1" applyFill="1" applyBorder="1" applyAlignment="1">
      <alignment vertical="center"/>
    </xf>
    <xf numFmtId="0" fontId="11" fillId="6" borderId="0" xfId="0" applyFont="1" applyFill="1"/>
    <xf numFmtId="167" fontId="5" fillId="10" borderId="2" xfId="0" applyNumberFormat="1" applyFont="1" applyFill="1" applyBorder="1" applyAlignment="1">
      <alignment horizontal="center" vertical="center"/>
    </xf>
    <xf numFmtId="0" fontId="20" fillId="10" borderId="2" xfId="0" applyFont="1" applyFill="1" applyBorder="1" applyAlignment="1">
      <alignment horizontal="center"/>
    </xf>
    <xf numFmtId="167" fontId="5" fillId="17" borderId="2" xfId="0" applyNumberFormat="1" applyFont="1" applyFill="1" applyBorder="1" applyAlignment="1">
      <alignment vertical="center"/>
    </xf>
    <xf numFmtId="49" fontId="6" fillId="6" borderId="43" xfId="0" applyNumberFormat="1" applyFont="1" applyFill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/>
    </xf>
    <xf numFmtId="16" fontId="5" fillId="0" borderId="2" xfId="0" applyNumberFormat="1" applyFont="1" applyBorder="1" applyAlignment="1">
      <alignment horizontal="center" vertical="center"/>
    </xf>
    <xf numFmtId="0" fontId="3" fillId="18" borderId="2" xfId="0" applyFont="1" applyFill="1" applyBorder="1" applyAlignment="1">
      <alignment horizontal="left" vertical="center" wrapText="1"/>
    </xf>
    <xf numFmtId="49" fontId="6" fillId="18" borderId="43" xfId="0" applyNumberFormat="1" applyFont="1" applyFill="1" applyBorder="1" applyAlignment="1">
      <alignment horizontal="center" vertical="center"/>
    </xf>
    <xf numFmtId="0" fontId="3" fillId="18" borderId="2" xfId="0" applyFont="1" applyFill="1" applyBorder="1" applyAlignment="1">
      <alignment horizontal="center" vertical="center"/>
    </xf>
    <xf numFmtId="167" fontId="3" fillId="18" borderId="2" xfId="0" applyNumberFormat="1" applyFont="1" applyFill="1" applyBorder="1" applyAlignment="1">
      <alignment horizontal="center" vertical="center"/>
    </xf>
    <xf numFmtId="165" fontId="3" fillId="18" borderId="2" xfId="0" applyNumberFormat="1" applyFont="1" applyFill="1" applyBorder="1" applyAlignment="1">
      <alignment horizontal="center" vertical="center"/>
    </xf>
    <xf numFmtId="167" fontId="7" fillId="18" borderId="2" xfId="0" applyNumberFormat="1" applyFont="1" applyFill="1" applyBorder="1" applyAlignment="1">
      <alignment horizontal="right" vertical="center"/>
    </xf>
    <xf numFmtId="167" fontId="5" fillId="19" borderId="2" xfId="0" applyNumberFormat="1" applyFont="1" applyFill="1" applyBorder="1" applyAlignment="1">
      <alignment vertical="center"/>
    </xf>
    <xf numFmtId="0" fontId="3" fillId="18" borderId="0" xfId="0" applyFont="1" applyFill="1" applyAlignment="1">
      <alignment vertical="center"/>
    </xf>
    <xf numFmtId="0" fontId="0" fillId="18" borderId="0" xfId="0" applyFill="1"/>
    <xf numFmtId="167" fontId="3" fillId="10" borderId="2" xfId="0" applyNumberFormat="1" applyFont="1" applyFill="1" applyBorder="1" applyAlignment="1">
      <alignment horizontal="center" vertical="center"/>
    </xf>
    <xf numFmtId="14" fontId="4" fillId="2" borderId="6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167" fontId="4" fillId="2" borderId="6" xfId="0" applyNumberFormat="1" applyFont="1" applyFill="1" applyBorder="1" applyAlignment="1">
      <alignment horizontal="center" vertical="center" wrapText="1"/>
    </xf>
    <xf numFmtId="167" fontId="4" fillId="2" borderId="5" xfId="0" applyNumberFormat="1" applyFont="1" applyFill="1" applyBorder="1" applyAlignment="1">
      <alignment horizontal="right" vertical="center" wrapText="1"/>
    </xf>
    <xf numFmtId="167" fontId="0" fillId="0" borderId="0" xfId="0" applyNumberFormat="1" applyAlignment="1">
      <alignment horizontal="right"/>
    </xf>
    <xf numFmtId="167" fontId="7" fillId="6" borderId="2" xfId="0" applyNumberFormat="1" applyFont="1" applyFill="1" applyBorder="1" applyAlignment="1">
      <alignment horizontal="right" vertical="center"/>
    </xf>
    <xf numFmtId="0" fontId="3" fillId="0" borderId="0" xfId="0" applyFont="1" applyAlignment="1">
      <alignment vertical="center" wrapText="1"/>
    </xf>
    <xf numFmtId="0" fontId="3" fillId="0" borderId="11" xfId="0" applyFont="1" applyBorder="1" applyAlignment="1">
      <alignment vertical="center" wrapText="1"/>
    </xf>
    <xf numFmtId="14" fontId="3" fillId="10" borderId="8" xfId="0" applyNumberFormat="1" applyFont="1" applyFill="1" applyBorder="1" applyAlignment="1">
      <alignment horizontal="center" vertical="center"/>
    </xf>
    <xf numFmtId="49" fontId="6" fillId="10" borderId="43" xfId="0" applyNumberFormat="1" applyFont="1" applyFill="1" applyBorder="1" applyAlignment="1">
      <alignment horizontal="center" vertical="center" wrapText="1"/>
    </xf>
    <xf numFmtId="167" fontId="3" fillId="10" borderId="2" xfId="0" applyNumberFormat="1" applyFont="1" applyFill="1" applyBorder="1" applyAlignment="1">
      <alignment horizontal="center" vertical="center" wrapText="1"/>
    </xf>
    <xf numFmtId="0" fontId="23" fillId="10" borderId="2" xfId="0" applyFont="1" applyFill="1" applyBorder="1" applyAlignment="1">
      <alignment horizontal="left" vertical="center"/>
    </xf>
    <xf numFmtId="49" fontId="24" fillId="10" borderId="43" xfId="0" applyNumberFormat="1" applyFont="1" applyFill="1" applyBorder="1" applyAlignment="1">
      <alignment horizontal="center" vertical="center"/>
    </xf>
    <xf numFmtId="0" fontId="23" fillId="10" borderId="2" xfId="0" applyFont="1" applyFill="1" applyBorder="1" applyAlignment="1">
      <alignment horizontal="center" vertical="center"/>
    </xf>
    <xf numFmtId="14" fontId="23" fillId="10" borderId="2" xfId="0" applyNumberFormat="1" applyFont="1" applyFill="1" applyBorder="1" applyAlignment="1">
      <alignment horizontal="center" vertical="center"/>
    </xf>
    <xf numFmtId="167" fontId="23" fillId="10" borderId="2" xfId="0" applyNumberFormat="1" applyFont="1" applyFill="1" applyBorder="1" applyAlignment="1">
      <alignment horizontal="center" vertical="center"/>
    </xf>
    <xf numFmtId="167" fontId="21" fillId="10" borderId="2" xfId="0" applyNumberFormat="1" applyFont="1" applyFill="1" applyBorder="1" applyAlignment="1">
      <alignment horizontal="right" vertical="center"/>
    </xf>
    <xf numFmtId="165" fontId="5" fillId="10" borderId="2" xfId="0" applyNumberFormat="1" applyFont="1" applyFill="1" applyBorder="1" applyAlignment="1">
      <alignment horizontal="center"/>
    </xf>
    <xf numFmtId="165" fontId="7" fillId="10" borderId="2" xfId="0" applyNumberFormat="1" applyFont="1" applyFill="1" applyBorder="1" applyAlignment="1">
      <alignment horizontal="center"/>
    </xf>
    <xf numFmtId="0" fontId="26" fillId="0" borderId="11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/>
    </xf>
    <xf numFmtId="49" fontId="25" fillId="0" borderId="11" xfId="0" applyNumberFormat="1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14" fontId="25" fillId="0" borderId="11" xfId="0" applyNumberFormat="1" applyFont="1" applyBorder="1" applyAlignment="1">
      <alignment horizontal="center" vertical="center" wrapText="1"/>
    </xf>
    <xf numFmtId="0" fontId="3" fillId="10" borderId="2" xfId="0" applyFont="1" applyFill="1" applyBorder="1" applyAlignment="1">
      <alignment vertical="center"/>
    </xf>
    <xf numFmtId="0" fontId="28" fillId="10" borderId="2" xfId="1" applyFont="1" applyFill="1" applyBorder="1" applyAlignment="1">
      <alignment horizontal="center" vertical="center"/>
    </xf>
    <xf numFmtId="4" fontId="3" fillId="10" borderId="2" xfId="0" applyNumberFormat="1" applyFont="1" applyFill="1" applyBorder="1" applyAlignment="1">
      <alignment horizontal="center" vertical="center" wrapText="1"/>
    </xf>
    <xf numFmtId="0" fontId="3" fillId="6" borderId="0" xfId="0" applyFont="1" applyFill="1" applyAlignment="1">
      <alignment vertical="center" wrapText="1"/>
    </xf>
    <xf numFmtId="0" fontId="29" fillId="13" borderId="5" xfId="0" applyFont="1" applyFill="1" applyBorder="1" applyAlignment="1">
      <alignment horizontal="center" vertical="center" wrapText="1"/>
    </xf>
    <xf numFmtId="167" fontId="29" fillId="11" borderId="2" xfId="0" applyNumberFormat="1" applyFont="1" applyFill="1" applyBorder="1" applyAlignment="1">
      <alignment horizontal="center" vertical="center"/>
    </xf>
    <xf numFmtId="167" fontId="29" fillId="11" borderId="2" xfId="0" applyNumberFormat="1" applyFont="1" applyFill="1" applyBorder="1" applyAlignment="1">
      <alignment horizontal="center" vertical="center" wrapText="1"/>
    </xf>
    <xf numFmtId="167" fontId="29" fillId="14" borderId="2" xfId="0" applyNumberFormat="1" applyFont="1" applyFill="1" applyBorder="1" applyAlignment="1">
      <alignment horizontal="center" vertical="center"/>
    </xf>
    <xf numFmtId="167" fontId="29" fillId="10" borderId="2" xfId="0" applyNumberFormat="1" applyFont="1" applyFill="1" applyBorder="1" applyAlignment="1">
      <alignment horizontal="center" vertical="center"/>
    </xf>
    <xf numFmtId="0" fontId="30" fillId="6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9" fillId="5" borderId="2" xfId="0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/>
    </xf>
    <xf numFmtId="165" fontId="29" fillId="10" borderId="2" xfId="0" applyNumberFormat="1" applyFont="1" applyFill="1" applyBorder="1" applyAlignment="1">
      <alignment horizontal="center" vertical="center"/>
    </xf>
    <xf numFmtId="165" fontId="29" fillId="0" borderId="2" xfId="0" applyNumberFormat="1" applyFont="1" applyBorder="1" applyAlignment="1">
      <alignment horizontal="center" vertical="center"/>
    </xf>
    <xf numFmtId="165" fontId="29" fillId="6" borderId="2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/>
    </xf>
    <xf numFmtId="0" fontId="5" fillId="6" borderId="2" xfId="0" applyFont="1" applyFill="1" applyBorder="1"/>
    <xf numFmtId="165" fontId="5" fillId="6" borderId="2" xfId="0" applyNumberFormat="1" applyFont="1" applyFill="1" applyBorder="1"/>
    <xf numFmtId="0" fontId="3" fillId="12" borderId="0" xfId="0" applyFont="1" applyFill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8" fillId="12" borderId="0" xfId="0" applyFont="1" applyFill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18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/>
    </xf>
    <xf numFmtId="0" fontId="5" fillId="10" borderId="20" xfId="0" applyFont="1" applyFill="1" applyBorder="1" applyAlignment="1">
      <alignment horizontal="center" vertical="center"/>
    </xf>
    <xf numFmtId="0" fontId="5" fillId="10" borderId="22" xfId="0" applyFont="1" applyFill="1" applyBorder="1" applyAlignment="1">
      <alignment horizontal="center" vertical="center"/>
    </xf>
    <xf numFmtId="0" fontId="5" fillId="10" borderId="27" xfId="0" applyFont="1" applyFill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10" borderId="17" xfId="0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5" fillId="10" borderId="24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16" fontId="5" fillId="10" borderId="17" xfId="0" applyNumberFormat="1" applyFont="1" applyFill="1" applyBorder="1" applyAlignment="1">
      <alignment horizontal="center" vertical="center"/>
    </xf>
    <xf numFmtId="16" fontId="5" fillId="10" borderId="10" xfId="0" applyNumberFormat="1" applyFont="1" applyFill="1" applyBorder="1" applyAlignment="1">
      <alignment horizontal="center" vertical="center"/>
    </xf>
    <xf numFmtId="16" fontId="5" fillId="10" borderId="24" xfId="0" applyNumberFormat="1" applyFont="1" applyFill="1" applyBorder="1" applyAlignment="1">
      <alignment horizontal="center" vertical="center"/>
    </xf>
    <xf numFmtId="165" fontId="5" fillId="10" borderId="17" xfId="0" applyNumberFormat="1" applyFont="1" applyFill="1" applyBorder="1" applyAlignment="1">
      <alignment horizontal="center" vertical="center"/>
    </xf>
    <xf numFmtId="165" fontId="5" fillId="10" borderId="10" xfId="0" applyNumberFormat="1" applyFont="1" applyFill="1" applyBorder="1" applyAlignment="1">
      <alignment horizontal="center" vertical="center"/>
    </xf>
    <xf numFmtId="165" fontId="5" fillId="10" borderId="24" xfId="0" applyNumberFormat="1" applyFont="1" applyFill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2" fillId="10" borderId="11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" fontId="2" fillId="10" borderId="11" xfId="0" applyNumberFormat="1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vertical="center"/>
    </xf>
    <xf numFmtId="0" fontId="2" fillId="10" borderId="12" xfId="0" applyFont="1" applyFill="1" applyBorder="1" applyAlignment="1">
      <alignment horizontal="center" vertical="center"/>
    </xf>
    <xf numFmtId="0" fontId="2" fillId="10" borderId="31" xfId="0" applyFont="1" applyFill="1" applyBorder="1" applyAlignment="1">
      <alignment horizontal="center" vertical="center"/>
    </xf>
    <xf numFmtId="165" fontId="2" fillId="10" borderId="13" xfId="0" applyNumberFormat="1" applyFont="1" applyFill="1" applyBorder="1" applyAlignment="1">
      <alignment horizontal="center" vertical="center"/>
    </xf>
    <xf numFmtId="165" fontId="2" fillId="10" borderId="12" xfId="0" applyNumberFormat="1" applyFont="1" applyFill="1" applyBorder="1" applyAlignment="1">
      <alignment horizontal="center" vertical="center"/>
    </xf>
    <xf numFmtId="165" fontId="2" fillId="10" borderId="31" xfId="0" applyNumberFormat="1" applyFont="1" applyFill="1" applyBorder="1" applyAlignment="1">
      <alignment horizontal="center" vertical="center"/>
    </xf>
    <xf numFmtId="0" fontId="0" fillId="0" borderId="32" xfId="0" applyNumberFormat="1" applyBorder="1"/>
    <xf numFmtId="0" fontId="0" fillId="0" borderId="35" xfId="0" applyNumberFormat="1" applyBorder="1"/>
    <xf numFmtId="0" fontId="0" fillId="0" borderId="36" xfId="0" applyNumberFormat="1" applyBorder="1"/>
    <xf numFmtId="0" fontId="0" fillId="0" borderId="37" xfId="0" applyNumberFormat="1" applyBorder="1"/>
    <xf numFmtId="0" fontId="0" fillId="0" borderId="38" xfId="0" applyNumberFormat="1" applyBorder="1"/>
    <xf numFmtId="0" fontId="0" fillId="0" borderId="39" xfId="0" applyNumberFormat="1" applyBorder="1"/>
    <xf numFmtId="0" fontId="3" fillId="12" borderId="2" xfId="0" applyFont="1" applyFill="1" applyBorder="1" applyAlignment="1">
      <alignment horizontal="left" vertical="center"/>
    </xf>
    <xf numFmtId="49" fontId="6" fillId="12" borderId="43" xfId="0" applyNumberFormat="1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167" fontId="7" fillId="12" borderId="2" xfId="0" applyNumberFormat="1" applyFont="1" applyFill="1" applyBorder="1" applyAlignment="1">
      <alignment horizontal="right" vertical="center"/>
    </xf>
    <xf numFmtId="167" fontId="29" fillId="17" borderId="2" xfId="0" applyNumberFormat="1" applyFont="1" applyFill="1" applyBorder="1" applyAlignment="1">
      <alignment horizontal="center" vertical="center"/>
    </xf>
  </cellXfs>
  <cellStyles count="5">
    <cellStyle name="Excel Built-in Normal 1" xfId="3" xr:uid="{54CD9533-411F-4FCF-AEDB-57F4A48D3B96}"/>
    <cellStyle name="Normal" xfId="0" builtinId="0"/>
    <cellStyle name="Normal 2" xfId="2" xr:uid="{104CAE72-DFE7-459B-A422-3DFEA98B90E7}"/>
    <cellStyle name="Normal 3" xfId="4" xr:uid="{C8C2D65F-F184-455E-8661-488B4526D7F0}"/>
    <cellStyle name="Normal 4" xfId="1" xr:uid="{65CAB5C8-5BF3-4EA4-BEC9-FFF643153B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amila Aponte" id="{56DDDD3A-985C-49E0-8410-75F619EF1DA2}" userId="S::evaluador1@pacificcontrol.us::94fcf4ce-a6ec-4c0d-bccb-8c512087dc02" providerId="AD"/>
  <person displayName="Karola Calderón" id="{21D1E24D-B955-48E7-8157-F8E2E3B5F56D}" userId="S::asistenteoi@pacificcontrol.us::51e7c894-59c3-4623-9617-95a48aa24c8d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USUARIO" refreshedDate="46253.577379166665" refreshedVersion="8" recordCount="251" xr:uid="{00000000-000A-0000-FFFF-FFFF0B000000}">
  <cacheSource type="worksheet">
    <worksheetSource ref="B1:J252" sheet="PAGO INSPECTOR(PI)"/>
  </cacheSource>
  <cacheFields count="9">
    <cacheField name="SEMANA" numFmtId="0">
      <sharedItems count="10">
        <s v="01"/>
        <s v="02"/>
        <s v="03"/>
        <s v="04"/>
        <s v="05"/>
        <s v="06"/>
        <s v="07"/>
        <s v="08"/>
        <s v="06, 07, 08"/>
        <s v="09"/>
      </sharedItems>
    </cacheField>
    <cacheField name="FECHA SERVICIO" numFmtId="0">
      <sharedItems containsDate="1" containsMixedTypes="1" minDate="2020-10-09T00:00:00" maxDate="2021-03-07T00:00:00"/>
    </cacheField>
    <cacheField name="INSPECTOR" numFmtId="0">
      <sharedItems count="30">
        <s v="BRAULIO GOMEZ"/>
        <s v="ANA ARTAZA"/>
        <s v="EDUARDO SALAS"/>
        <s v="DEIVID QUICHIZ"/>
        <s v="JULIO DIAZ"/>
        <s v="DANNA GUZMAN"/>
        <s v="JUAN PINILLOS"/>
        <s v="LUIS GONZALES"/>
        <s v="FRANCO FLORES"/>
        <s v="MIGUEL BEDOYA"/>
        <s v="EDUARDO ZAPATA"/>
        <s v="RENATO ZUMAETA"/>
        <s v="JHONNY SALDAÑA"/>
        <s v="KEVIN VARGAS"/>
        <s v="JOSE JIMENEZ"/>
        <s v="RONALD VERASTEGUI"/>
        <s v="LOURDES CHARA"/>
        <s v="PAT TANTAHUILLCA"/>
        <s v="ALEX RIMARACHIN"/>
        <s v="HUGO CAMPOS"/>
        <s v="MANUEL PINILLOS"/>
        <s v="MARCOS CADILLO"/>
        <s v="GUDMAN BLAS"/>
        <s v="RONY CENTENO"/>
        <s v="SMITH CHAVEZ"/>
        <s v="KATTHERINE MALQUICHAGUA"/>
        <s v="CRISTIAN CORNEJO"/>
        <s v="MIRIAM SARAVIA"/>
        <s v="ANTONY CHUQUICUSMA"/>
        <s v="ROGGER MIRANDA"/>
      </sharedItems>
    </cacheField>
    <cacheField name="CMA/2021" numFmtId="0">
      <sharedItems containsBlank="1" containsMixedTypes="1" containsNumber="1" containsInteger="1" minValue="1" maxValue="1479"/>
    </cacheField>
    <cacheField name="LINEA NEGOCIO" numFmtId="0">
      <sharedItems count="8">
        <s v="AMBIENTAL"/>
        <s v="PESCA"/>
        <s v="AGROALIMENTOS"/>
        <s v="CRIDER"/>
        <s v="LICITACIONES"/>
        <s v="BAKERTILLY"/>
        <s v="CERTIFICACIONES"/>
        <s v=" SERVICIOS DE CONDUCTOR"/>
      </sharedItems>
    </cacheField>
    <cacheField name="N° RECIBO X HONORARIOS" numFmtId="0">
      <sharedItems/>
    </cacheField>
    <cacheField name="TOTAL" numFmtId="0">
      <sharedItems containsSemiMixedTypes="0" containsString="0" containsNumber="1" minValue="50" maxValue="1125"/>
    </cacheField>
    <cacheField name="TOTAL SEMANA" numFmtId="0">
      <sharedItems containsString="0" containsBlank="1" containsNumber="1" containsInteger="1" minValue="998" maxValue="2648"/>
    </cacheField>
    <cacheField name="FECHA DE PAG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1">
  <r>
    <x v="0"/>
    <s v="04-01-2021"/>
    <x v="0"/>
    <s v="4694/2020"/>
    <x v="0"/>
    <s v="E001-172"/>
    <n v="70"/>
    <m/>
    <m/>
  </r>
  <r>
    <x v="0"/>
    <s v="08-01-2021"/>
    <x v="0"/>
    <n v="79"/>
    <x v="0"/>
    <s v="E001-173"/>
    <n v="70"/>
    <m/>
    <m/>
  </r>
  <r>
    <x v="0"/>
    <s v="05-01-2021"/>
    <x v="0"/>
    <n v="127"/>
    <x v="1"/>
    <s v="E001-174"/>
    <n v="70"/>
    <m/>
    <m/>
  </r>
  <r>
    <x v="0"/>
    <s v="05-01-2021"/>
    <x v="1"/>
    <n v="1"/>
    <x v="2"/>
    <s v="E001-286"/>
    <n v="70"/>
    <m/>
    <m/>
  </r>
  <r>
    <x v="0"/>
    <s v="07-01-2021"/>
    <x v="1"/>
    <n v="74"/>
    <x v="0"/>
    <s v="E001-287"/>
    <n v="70"/>
    <m/>
    <m/>
  </r>
  <r>
    <x v="0"/>
    <s v="08-01-2021"/>
    <x v="1"/>
    <n v="98"/>
    <x v="0"/>
    <s v="E001-288"/>
    <n v="70"/>
    <m/>
    <m/>
  </r>
  <r>
    <x v="0"/>
    <s v="08-01-2021"/>
    <x v="1"/>
    <n v="121"/>
    <x v="0"/>
    <s v="E001-289"/>
    <n v="70"/>
    <m/>
    <m/>
  </r>
  <r>
    <x v="0"/>
    <s v="07-01-2021"/>
    <x v="2"/>
    <n v="132"/>
    <x v="2"/>
    <s v="E001-45"/>
    <n v="70"/>
    <m/>
    <m/>
  </r>
  <r>
    <x v="0"/>
    <s v="08-01-2021"/>
    <x v="2"/>
    <n v="132"/>
    <x v="2"/>
    <s v="E001-46"/>
    <n v="70"/>
    <m/>
    <m/>
  </r>
  <r>
    <x v="0"/>
    <s v="07-01-2021"/>
    <x v="2"/>
    <n v="128"/>
    <x v="2"/>
    <s v="E001-44"/>
    <n v="70"/>
    <m/>
    <m/>
  </r>
  <r>
    <x v="0"/>
    <s v="08-01-2021"/>
    <x v="3"/>
    <n v="167"/>
    <x v="2"/>
    <s v="E001-88"/>
    <n v="168"/>
    <m/>
    <m/>
  </r>
  <r>
    <x v="0"/>
    <s v="05-01-2021"/>
    <x v="4"/>
    <n v="127"/>
    <x v="1"/>
    <s v="E001-187"/>
    <n v="130"/>
    <n v="998"/>
    <m/>
  </r>
  <r>
    <x v="0"/>
    <s v="06 AL 09-01-2021"/>
    <x v="5"/>
    <s v="4306/2020"/>
    <x v="3"/>
    <s v="E001-48"/>
    <n v="340"/>
    <m/>
    <m/>
  </r>
  <r>
    <x v="0"/>
    <s v="05 AL 09-01-2021"/>
    <x v="6"/>
    <s v=" 4306/2020"/>
    <x v="3"/>
    <s v="E001-53"/>
    <n v="425"/>
    <m/>
    <m/>
  </r>
  <r>
    <x v="0"/>
    <s v="06 AL 09-01-2021"/>
    <x v="7"/>
    <s v="4306/2020"/>
    <x v="3"/>
    <s v="E001-12"/>
    <n v="460"/>
    <m/>
    <m/>
  </r>
  <r>
    <x v="0"/>
    <s v="05 AL 09-01-2021"/>
    <x v="8"/>
    <s v="4306/2020"/>
    <x v="3"/>
    <s v="E001-56"/>
    <n v="425"/>
    <n v="2648"/>
    <m/>
  </r>
  <r>
    <x v="1"/>
    <s v="11-01-2021"/>
    <x v="0"/>
    <n v="44"/>
    <x v="4"/>
    <s v="E001-175"/>
    <n v="70"/>
    <m/>
    <m/>
  </r>
  <r>
    <x v="1"/>
    <s v="11-01-2021"/>
    <x v="9"/>
    <n v="37"/>
    <x v="2"/>
    <s v="E001-21"/>
    <n v="80"/>
    <m/>
    <m/>
  </r>
  <r>
    <x v="1"/>
    <s v="12-01-2021"/>
    <x v="0"/>
    <n v="44"/>
    <x v="4"/>
    <s v="E001-176"/>
    <n v="70"/>
    <m/>
    <m/>
  </r>
  <r>
    <x v="1"/>
    <s v="13-01-2021"/>
    <x v="3"/>
    <n v="257"/>
    <x v="2"/>
    <s v="E001-90"/>
    <n v="91"/>
    <m/>
    <m/>
  </r>
  <r>
    <x v="1"/>
    <s v="13-01-2021"/>
    <x v="0"/>
    <n v="270"/>
    <x v="0"/>
    <s v="E001-177"/>
    <n v="70"/>
    <m/>
    <m/>
  </r>
  <r>
    <x v="1"/>
    <s v="13-01-2021"/>
    <x v="8"/>
    <s v="5097/2020"/>
    <x v="1"/>
    <s v="E001-58"/>
    <n v="85"/>
    <m/>
    <m/>
  </r>
  <r>
    <x v="1"/>
    <s v="13-01-2021"/>
    <x v="9"/>
    <s v="5097/2020"/>
    <x v="1"/>
    <s v="E001-29"/>
    <n v="85"/>
    <m/>
    <m/>
  </r>
  <r>
    <x v="1"/>
    <s v="13-01-2021"/>
    <x v="1"/>
    <n v="153"/>
    <x v="2"/>
    <s v="E001-290"/>
    <n v="70"/>
    <m/>
    <m/>
  </r>
  <r>
    <x v="1"/>
    <s v="14-01-2021"/>
    <x v="0"/>
    <s v="124, 125"/>
    <x v="2"/>
    <s v="E001-178"/>
    <n v="70"/>
    <m/>
    <m/>
  </r>
  <r>
    <x v="1"/>
    <s v="14-01-2021"/>
    <x v="1"/>
    <n v="153"/>
    <x v="2"/>
    <s v="E001-291"/>
    <n v="70"/>
    <m/>
    <m/>
  </r>
  <r>
    <x v="1"/>
    <s v="14-01-2021"/>
    <x v="10"/>
    <s v="293, 294"/>
    <x v="1"/>
    <s v="E001-16"/>
    <n v="85"/>
    <m/>
    <m/>
  </r>
  <r>
    <x v="1"/>
    <s v="15-01-2021"/>
    <x v="1"/>
    <s v="09"/>
    <x v="0"/>
    <s v="E001-293"/>
    <n v="70"/>
    <m/>
    <m/>
  </r>
  <r>
    <x v="1"/>
    <s v="15-01-2021"/>
    <x v="0"/>
    <n v="310"/>
    <x v="2"/>
    <s v="E001-179"/>
    <n v="70"/>
    <m/>
    <m/>
  </r>
  <r>
    <x v="1"/>
    <s v="15-01-2021"/>
    <x v="9"/>
    <s v="293, 294"/>
    <x v="1"/>
    <s v="E001-30"/>
    <n v="90"/>
    <m/>
    <m/>
  </r>
  <r>
    <x v="1"/>
    <s v="15-01-2021"/>
    <x v="10"/>
    <s v="293, 294"/>
    <x v="1"/>
    <s v="E001-17"/>
    <n v="116.8"/>
    <m/>
    <m/>
  </r>
  <r>
    <x v="1"/>
    <s v="15-01-2021"/>
    <x v="1"/>
    <n v="351"/>
    <x v="0"/>
    <s v="E001-292"/>
    <n v="70"/>
    <m/>
    <m/>
  </r>
  <r>
    <x v="1"/>
    <s v="15-01-2021"/>
    <x v="4"/>
    <n v="370"/>
    <x v="1"/>
    <s v="E001-188"/>
    <n v="130"/>
    <m/>
    <m/>
  </r>
  <r>
    <x v="1"/>
    <s v="16-01-2021"/>
    <x v="10"/>
    <s v="293, 294"/>
    <x v="1"/>
    <s v="E001-18"/>
    <n v="116.8"/>
    <m/>
    <m/>
  </r>
  <r>
    <x v="1"/>
    <s v="16-01-2021"/>
    <x v="8"/>
    <s v="293, 294"/>
    <x v="1"/>
    <s v="E001-62"/>
    <n v="80"/>
    <m/>
    <m/>
  </r>
  <r>
    <x v="1"/>
    <s v="16-01-2021"/>
    <x v="9"/>
    <s v="293, 294"/>
    <x v="1"/>
    <s v=" E001-31"/>
    <n v="70"/>
    <m/>
    <m/>
  </r>
  <r>
    <x v="1"/>
    <s v="11, 13, 16-01-2021"/>
    <x v="5"/>
    <s v="4306/2020"/>
    <x v="3"/>
    <s v="E001-49"/>
    <n v="425"/>
    <m/>
    <m/>
  </r>
  <r>
    <x v="1"/>
    <s v="11, 13, 16-01-2021"/>
    <x v="6"/>
    <s v="4306/2020"/>
    <x v="3"/>
    <s v="E001-54"/>
    <n v="425"/>
    <m/>
    <m/>
  </r>
  <r>
    <x v="1"/>
    <s v="11, 13, 16-01-2021"/>
    <x v="7"/>
    <s v="4306/2020"/>
    <x v="3"/>
    <s v="E001-13"/>
    <n v="575"/>
    <m/>
    <m/>
  </r>
  <r>
    <x v="1"/>
    <s v="11, 14, 15-01-2021"/>
    <x v="8"/>
    <s v="4306/2020"/>
    <x v="3"/>
    <s v="E001-57"/>
    <n v="255"/>
    <m/>
    <m/>
  </r>
  <r>
    <x v="1"/>
    <s v="11 AL 16-01-2021"/>
    <x v="11"/>
    <s v="3806/2020"/>
    <x v="5"/>
    <s v="E001-7"/>
    <n v="690"/>
    <m/>
    <m/>
  </r>
  <r>
    <x v="1"/>
    <s v="11 AL 16-01-2021"/>
    <x v="12"/>
    <s v="3806/2020"/>
    <x v="5"/>
    <s v="E001-1"/>
    <n v="425"/>
    <m/>
    <m/>
  </r>
  <r>
    <x v="1"/>
    <s v="16, 17-11-2020"/>
    <x v="12"/>
    <s v="3806/2021"/>
    <x v="5"/>
    <s v="E001-2"/>
    <n v="140"/>
    <m/>
    <m/>
  </r>
  <r>
    <x v="1"/>
    <s v="11 AL 16-01-2021"/>
    <x v="13"/>
    <s v="3806/2020"/>
    <x v="5"/>
    <s v="E001-2"/>
    <n v="510"/>
    <m/>
    <m/>
  </r>
  <r>
    <x v="1"/>
    <s v="14-01-2021"/>
    <x v="9"/>
    <s v="3806/2020"/>
    <x v="5"/>
    <s v="E001-25"/>
    <n v="85"/>
    <m/>
    <m/>
  </r>
  <r>
    <x v="1"/>
    <s v="12, 13-01-2021"/>
    <x v="10"/>
    <s v="3806/2020"/>
    <x v="5"/>
    <s v="E001-15"/>
    <n v="170"/>
    <m/>
    <m/>
  </r>
  <r>
    <x v="2"/>
    <s v="18-01-2021"/>
    <x v="1"/>
    <n v="97"/>
    <x v="0"/>
    <s v="E001-294"/>
    <n v="70"/>
    <m/>
    <m/>
  </r>
  <r>
    <x v="2"/>
    <s v="18-01-2021"/>
    <x v="4"/>
    <n v="370"/>
    <x v="1"/>
    <s v="E001-189"/>
    <n v="130"/>
    <m/>
    <m/>
  </r>
  <r>
    <x v="2"/>
    <s v="19-01-2021"/>
    <x v="1"/>
    <n v="409"/>
    <x v="2"/>
    <s v="E001-295"/>
    <n v="70"/>
    <m/>
    <m/>
  </r>
  <r>
    <x v="2"/>
    <s v="19-01-2021"/>
    <x v="0"/>
    <n v="265"/>
    <x v="2"/>
    <s v="E001-180"/>
    <n v="70"/>
    <m/>
    <m/>
  </r>
  <r>
    <x v="2"/>
    <s v="20-01-2021"/>
    <x v="1"/>
    <n v="374"/>
    <x v="0"/>
    <s v="E001-296"/>
    <n v="70"/>
    <m/>
    <m/>
  </r>
  <r>
    <x v="2"/>
    <s v="21-01-2021"/>
    <x v="3"/>
    <n v="488"/>
    <x v="2"/>
    <s v="E001-91"/>
    <n v="91"/>
    <m/>
    <m/>
  </r>
  <r>
    <x v="2"/>
    <s v="21-01-2021"/>
    <x v="0"/>
    <s v="228, 229"/>
    <x v="2"/>
    <s v="E001-181"/>
    <n v="70"/>
    <m/>
    <m/>
  </r>
  <r>
    <x v="2"/>
    <s v="22-01-2021"/>
    <x v="0"/>
    <n v="496"/>
    <x v="2"/>
    <s v="E001-182"/>
    <n v="70"/>
    <m/>
    <m/>
  </r>
  <r>
    <x v="2"/>
    <s v="22-01-2021"/>
    <x v="1"/>
    <s v="441, 442"/>
    <x v="2"/>
    <s v="E001-299"/>
    <n v="70"/>
    <m/>
    <m/>
  </r>
  <r>
    <x v="2"/>
    <s v="23-01-2021"/>
    <x v="0"/>
    <n v="533"/>
    <x v="0"/>
    <s v="E001-183"/>
    <n v="70"/>
    <m/>
    <m/>
  </r>
  <r>
    <x v="2"/>
    <s v="18-01-2021"/>
    <x v="10"/>
    <n v="295"/>
    <x v="1"/>
    <s v="E001-19"/>
    <n v="85"/>
    <m/>
    <m/>
  </r>
  <r>
    <x v="2"/>
    <s v="18-01-2021"/>
    <x v="9"/>
    <n v="295"/>
    <x v="1"/>
    <s v="E001-27"/>
    <n v="70"/>
    <m/>
    <m/>
  </r>
  <r>
    <x v="2"/>
    <s v="18-01-2021"/>
    <x v="14"/>
    <n v="295"/>
    <x v="1"/>
    <s v="E001-10"/>
    <n v="75"/>
    <m/>
    <m/>
  </r>
  <r>
    <x v="2"/>
    <s v="18-01-2021"/>
    <x v="8"/>
    <n v="295"/>
    <x v="1"/>
    <s v="E001-64"/>
    <n v="75"/>
    <m/>
    <m/>
  </r>
  <r>
    <x v="2"/>
    <s v="19-01-2021"/>
    <x v="9"/>
    <s v="295/2021"/>
    <x v="1"/>
    <s v="E001-32"/>
    <n v="90"/>
    <m/>
    <m/>
  </r>
  <r>
    <x v="2"/>
    <s v="19-01-2021"/>
    <x v="14"/>
    <s v="295/2021"/>
    <x v="1"/>
    <s v="E001-10"/>
    <n v="75"/>
    <m/>
    <m/>
  </r>
  <r>
    <x v="2"/>
    <s v="19-01-2021"/>
    <x v="8"/>
    <s v="295/2021"/>
    <x v="1"/>
    <s v="E001-63"/>
    <n v="83"/>
    <m/>
    <m/>
  </r>
  <r>
    <x v="2"/>
    <s v="19-01-2021"/>
    <x v="10"/>
    <s v="295/2021"/>
    <x v="1"/>
    <s v="E001-23"/>
    <n v="138"/>
    <m/>
    <m/>
  </r>
  <r>
    <x v="2"/>
    <s v="18 AL 23-01-2021"/>
    <x v="5"/>
    <s v="4306/2020"/>
    <x v="3"/>
    <s v="E001-50"/>
    <n v="510"/>
    <m/>
    <m/>
  </r>
  <r>
    <x v="2"/>
    <s v="18 AL 23-01-2021"/>
    <x v="6"/>
    <s v="4306/2020"/>
    <x v="3"/>
    <s v="E001-55"/>
    <n v="510"/>
    <m/>
    <m/>
  </r>
  <r>
    <x v="2"/>
    <s v="18 AL 23-01-2021"/>
    <x v="7"/>
    <s v="4306/2020"/>
    <x v="3"/>
    <s v="E001-15"/>
    <n v="690"/>
    <m/>
    <m/>
  </r>
  <r>
    <x v="2"/>
    <s v="20 AL 23-01-2021"/>
    <x v="8"/>
    <s v="4306/2020"/>
    <x v="3"/>
    <s v="E001-60"/>
    <n v="340"/>
    <m/>
    <m/>
  </r>
  <r>
    <x v="2"/>
    <s v="19 AL 21-01-2021"/>
    <x v="11"/>
    <s v="3806/2020"/>
    <x v="5"/>
    <s v="E001-8"/>
    <n v="345"/>
    <m/>
    <m/>
  </r>
  <r>
    <x v="2"/>
    <s v="19 AL 21-01-2021"/>
    <x v="12"/>
    <s v="3806/2020"/>
    <x v="5"/>
    <s v="E001-3"/>
    <n v="255"/>
    <m/>
    <m/>
  </r>
  <r>
    <x v="2"/>
    <s v="20-01-2021"/>
    <x v="9"/>
    <s v="3806/2020"/>
    <x v="5"/>
    <s v="E001-33"/>
    <n v="85"/>
    <m/>
    <m/>
  </r>
  <r>
    <x v="2"/>
    <s v="21-01-2021"/>
    <x v="10"/>
    <s v="3806/2020"/>
    <x v="5"/>
    <s v="E001-21"/>
    <n v="85"/>
    <m/>
    <m/>
  </r>
  <r>
    <x v="2"/>
    <s v="20, 21-01-2021"/>
    <x v="14"/>
    <s v="3806/2020"/>
    <x v="5"/>
    <s v="E001-11"/>
    <n v="170"/>
    <m/>
    <m/>
  </r>
  <r>
    <x v="3"/>
    <d v="2021-01-25T00:00:00"/>
    <x v="0"/>
    <n v="306"/>
    <x v="0"/>
    <s v="E001-186"/>
    <n v="70"/>
    <m/>
    <m/>
  </r>
  <r>
    <x v="3"/>
    <d v="2021-01-25T00:00:00"/>
    <x v="1"/>
    <n v="366"/>
    <x v="2"/>
    <s v="E001-300"/>
    <n v="70"/>
    <m/>
    <m/>
  </r>
  <r>
    <x v="3"/>
    <d v="2021-01-25T00:00:00"/>
    <x v="9"/>
    <n v="438"/>
    <x v="0"/>
    <s v="E001-34"/>
    <n v="70"/>
    <m/>
    <m/>
  </r>
  <r>
    <x v="3"/>
    <d v="2021-01-25T00:00:00"/>
    <x v="15"/>
    <n v="361"/>
    <x v="0"/>
    <s v="E001-46"/>
    <n v="85"/>
    <m/>
    <m/>
  </r>
  <r>
    <x v="3"/>
    <d v="2021-01-26T00:00:00"/>
    <x v="0"/>
    <s v="18, 19, 20"/>
    <x v="2"/>
    <s v="E001-187"/>
    <n v="70"/>
    <m/>
    <m/>
  </r>
  <r>
    <x v="3"/>
    <d v="2021-01-26T00:00:00"/>
    <x v="1"/>
    <n v="557"/>
    <x v="2"/>
    <s v="E001-301"/>
    <n v="70"/>
    <m/>
    <m/>
  </r>
  <r>
    <x v="3"/>
    <d v="2021-01-27T00:00:00"/>
    <x v="1"/>
    <n v="557"/>
    <x v="2"/>
    <s v="E001-302"/>
    <n v="80"/>
    <m/>
    <m/>
  </r>
  <r>
    <x v="3"/>
    <d v="2021-01-27T00:00:00"/>
    <x v="3"/>
    <n v="600"/>
    <x v="2"/>
    <s v="E001-92"/>
    <n v="93"/>
    <m/>
    <m/>
  </r>
  <r>
    <x v="3"/>
    <s v="28-01-2021"/>
    <x v="10"/>
    <n v="432"/>
    <x v="1"/>
    <s v="E001-24"/>
    <n v="127"/>
    <m/>
    <m/>
  </r>
  <r>
    <x v="3"/>
    <s v="28-01-2021"/>
    <x v="1"/>
    <n v="581"/>
    <x v="2"/>
    <s v="E001-303"/>
    <n v="70"/>
    <m/>
    <m/>
  </r>
  <r>
    <x v="3"/>
    <s v="28-01-2021"/>
    <x v="3"/>
    <n v="638"/>
    <x v="2"/>
    <s v="E001-93"/>
    <n v="94"/>
    <m/>
    <m/>
  </r>
  <r>
    <x v="3"/>
    <s v="28-01-2021"/>
    <x v="0"/>
    <n v="599"/>
    <x v="1"/>
    <s v="E001-188"/>
    <n v="70"/>
    <m/>
    <m/>
  </r>
  <r>
    <x v="3"/>
    <s v="28-01-2021"/>
    <x v="14"/>
    <n v="599"/>
    <x v="1"/>
    <s v="E001-12"/>
    <n v="70"/>
    <m/>
    <m/>
  </r>
  <r>
    <x v="3"/>
    <s v="29-01-2021"/>
    <x v="10"/>
    <n v="599"/>
    <x v="1"/>
    <s v="E001-25"/>
    <n v="116.8"/>
    <m/>
    <m/>
  </r>
  <r>
    <x v="3"/>
    <d v="2021-01-29T00:00:00"/>
    <x v="15"/>
    <n v="599"/>
    <x v="1"/>
    <s v="E001-43"/>
    <n v="85"/>
    <m/>
    <m/>
  </r>
  <r>
    <x v="3"/>
    <d v="2021-01-29T00:00:00"/>
    <x v="8"/>
    <n v="599"/>
    <x v="1"/>
    <s v="E001-66"/>
    <n v="75"/>
    <m/>
    <m/>
  </r>
  <r>
    <x v="3"/>
    <d v="2021-01-29T00:00:00"/>
    <x v="14"/>
    <n v="599"/>
    <x v="1"/>
    <s v="E001-13"/>
    <n v="70"/>
    <m/>
    <m/>
  </r>
  <r>
    <x v="3"/>
    <d v="2021-01-29T00:00:00"/>
    <x v="0"/>
    <s v="3713/2020"/>
    <x v="6"/>
    <s v="E001-189"/>
    <n v="70"/>
    <m/>
    <m/>
  </r>
  <r>
    <x v="3"/>
    <d v="2021-01-29T00:00:00"/>
    <x v="9"/>
    <n v="658"/>
    <x v="2"/>
    <s v="E001-35"/>
    <n v="70"/>
    <m/>
    <m/>
  </r>
  <r>
    <x v="3"/>
    <d v="2021-01-29T00:00:00"/>
    <x v="1"/>
    <s v="4765/2020"/>
    <x v="6"/>
    <s v="E001-304"/>
    <n v="80"/>
    <m/>
    <m/>
  </r>
  <r>
    <x v="3"/>
    <d v="2021-01-29T00:00:00"/>
    <x v="16"/>
    <s v="4765/2020"/>
    <x v="6"/>
    <s v="E001-13"/>
    <n v="80"/>
    <m/>
    <m/>
  </r>
  <r>
    <x v="3"/>
    <d v="2021-01-30T00:00:00"/>
    <x v="10"/>
    <n v="599"/>
    <x v="1"/>
    <s v="E001-26"/>
    <n v="85"/>
    <m/>
    <m/>
  </r>
  <r>
    <x v="3"/>
    <d v="2021-01-16T00:00:00"/>
    <x v="15"/>
    <n v="370"/>
    <x v="1"/>
    <s v="E001-41"/>
    <n v="70"/>
    <m/>
    <m/>
  </r>
  <r>
    <x v="3"/>
    <d v="2021-01-18T00:00:00"/>
    <x v="15"/>
    <n v="361"/>
    <x v="0"/>
    <s v="E001-41"/>
    <n v="70"/>
    <m/>
    <m/>
  </r>
  <r>
    <x v="3"/>
    <d v="2021-01-25T00:00:00"/>
    <x v="15"/>
    <n v="500"/>
    <x v="1"/>
    <s v="E001-41"/>
    <n v="70"/>
    <m/>
    <m/>
  </r>
  <r>
    <x v="3"/>
    <d v="2020-10-09T00:00:00"/>
    <x v="17"/>
    <s v="3647/2020"/>
    <x v="6"/>
    <s v="E001-99"/>
    <n v="70"/>
    <m/>
    <m/>
  </r>
  <r>
    <x v="3"/>
    <s v="25 AL 28-01-2021"/>
    <x v="5"/>
    <s v="4306/2020"/>
    <x v="3"/>
    <s v="E001-52"/>
    <n v="340"/>
    <m/>
    <m/>
  </r>
  <r>
    <x v="3"/>
    <s v="25 AL 30-01-2021"/>
    <x v="6"/>
    <s v="4306/2020"/>
    <x v="3"/>
    <s v="E001-56"/>
    <n v="510"/>
    <m/>
    <m/>
  </r>
  <r>
    <x v="3"/>
    <s v="25 AL 30-01-2021"/>
    <x v="7"/>
    <s v="4306/2020"/>
    <x v="3"/>
    <s v="E001-16"/>
    <n v="690"/>
    <m/>
    <m/>
  </r>
  <r>
    <x v="3"/>
    <s v="25 AL 30-01-2021"/>
    <x v="8"/>
    <s v="4306/2020"/>
    <x v="3"/>
    <s v="E001-65"/>
    <n v="425"/>
    <m/>
    <m/>
  </r>
  <r>
    <x v="4"/>
    <d v="2021-02-01T00:00:00"/>
    <x v="0"/>
    <n v="673"/>
    <x v="2"/>
    <s v="E001-190"/>
    <n v="70"/>
    <m/>
    <m/>
  </r>
  <r>
    <x v="4"/>
    <d v="2021-02-02T00:00:00"/>
    <x v="0"/>
    <n v="465"/>
    <x v="6"/>
    <s v="E001-191"/>
    <n v="70"/>
    <m/>
    <m/>
  </r>
  <r>
    <x v="4"/>
    <d v="2021-02-02T00:00:00"/>
    <x v="1"/>
    <n v="716"/>
    <x v="1"/>
    <s v="E001-307"/>
    <n v="80"/>
    <m/>
    <m/>
  </r>
  <r>
    <x v="4"/>
    <d v="2021-02-04T00:00:00"/>
    <x v="1"/>
    <n v="535"/>
    <x v="2"/>
    <s v="E001-306"/>
    <n v="80"/>
    <m/>
    <m/>
  </r>
  <r>
    <x v="4"/>
    <d v="2021-02-04T00:00:00"/>
    <x v="10"/>
    <n v="752"/>
    <x v="1"/>
    <s v="E001-27"/>
    <n v="85"/>
    <m/>
    <m/>
  </r>
  <r>
    <x v="4"/>
    <d v="2021-02-04T00:00:00"/>
    <x v="10"/>
    <n v="752"/>
    <x v="1"/>
    <s v="E001-28"/>
    <n v="116.8"/>
    <m/>
    <m/>
  </r>
  <r>
    <x v="4"/>
    <d v="2021-02-04T00:00:00"/>
    <x v="14"/>
    <n v="752"/>
    <x v="1"/>
    <s v="E001-15"/>
    <n v="70"/>
    <m/>
    <m/>
  </r>
  <r>
    <x v="4"/>
    <d v="2021-02-04T00:00:00"/>
    <x v="9"/>
    <n v="752"/>
    <x v="1"/>
    <s v="E001-37"/>
    <n v="70"/>
    <m/>
    <m/>
  </r>
  <r>
    <x v="4"/>
    <d v="2021-02-04T00:00:00"/>
    <x v="15"/>
    <n v="752"/>
    <x v="1"/>
    <s v="E001-44"/>
    <n v="85"/>
    <m/>
    <m/>
  </r>
  <r>
    <x v="4"/>
    <d v="2021-02-04T00:00:00"/>
    <x v="0"/>
    <n v="726"/>
    <x v="1"/>
    <s v="E001-192"/>
    <n v="70"/>
    <m/>
    <m/>
  </r>
  <r>
    <x v="4"/>
    <d v="2021-02-04T00:00:00"/>
    <x v="4"/>
    <n v="726"/>
    <x v="1"/>
    <s v="E001-190"/>
    <n v="130"/>
    <m/>
    <m/>
  </r>
  <r>
    <x v="4"/>
    <d v="2021-02-06T00:00:00"/>
    <x v="0"/>
    <n v="804"/>
    <x v="1"/>
    <s v="E001-193"/>
    <n v="70"/>
    <m/>
    <m/>
  </r>
  <r>
    <x v="4"/>
    <d v="2021-02-06T00:00:00"/>
    <x v="4"/>
    <n v="804"/>
    <x v="1"/>
    <s v="E001-191"/>
    <n v="130"/>
    <m/>
    <m/>
  </r>
  <r>
    <x v="4"/>
    <d v="2021-02-06T00:00:00"/>
    <x v="18"/>
    <n v="804"/>
    <x v="7"/>
    <s v="E001-3"/>
    <n v="50"/>
    <m/>
    <m/>
  </r>
  <r>
    <x v="4"/>
    <d v="2021-02-05T00:00:00"/>
    <x v="10"/>
    <n v="752"/>
    <x v="1"/>
    <s v="E001-29"/>
    <n v="127.5"/>
    <m/>
    <m/>
  </r>
  <r>
    <x v="4"/>
    <d v="2021-02-05T00:00:00"/>
    <x v="14"/>
    <n v="752"/>
    <x v="1"/>
    <s v="E001-14"/>
    <n v="70"/>
    <m/>
    <m/>
  </r>
  <r>
    <x v="4"/>
    <d v="2021-02-05T00:00:00"/>
    <x v="9"/>
    <n v="752"/>
    <x v="1"/>
    <s v="E001-38"/>
    <n v="70"/>
    <m/>
    <m/>
  </r>
  <r>
    <x v="4"/>
    <d v="2021-02-05T00:00:00"/>
    <x v="15"/>
    <n v="752"/>
    <x v="1"/>
    <s v="E001-45"/>
    <n v="85"/>
    <m/>
    <m/>
  </r>
  <r>
    <x v="4"/>
    <d v="2021-02-06T00:00:00"/>
    <x v="0"/>
    <n v="512"/>
    <x v="0"/>
    <s v="E001-194"/>
    <n v="70"/>
    <m/>
    <m/>
  </r>
  <r>
    <x v="4"/>
    <d v="2021-02-06T00:00:00"/>
    <x v="18"/>
    <n v="512"/>
    <x v="7"/>
    <s v="E001-4"/>
    <n v="100"/>
    <m/>
    <m/>
  </r>
  <r>
    <x v="4"/>
    <d v="2021-02-02T00:00:00"/>
    <x v="1"/>
    <s v="______"/>
    <x v="2"/>
    <s v="E001-305"/>
    <n v="70"/>
    <m/>
    <m/>
  </r>
  <r>
    <x v="4"/>
    <d v="2020-11-02T00:00:00"/>
    <x v="19"/>
    <s v="4127/2020"/>
    <x v="1"/>
    <s v="E001-54"/>
    <n v="120"/>
    <m/>
    <m/>
  </r>
  <r>
    <x v="4"/>
    <d v="2021-02-02T00:00:00"/>
    <x v="4"/>
    <n v="245"/>
    <x v="1"/>
    <s v="E001-193"/>
    <n v="80"/>
    <m/>
    <m/>
  </r>
  <r>
    <x v="4"/>
    <s v="01 AL 06/02/2021"/>
    <x v="12"/>
    <s v="4306/2020"/>
    <x v="3"/>
    <s v="E001-4"/>
    <n v="510"/>
    <m/>
    <m/>
  </r>
  <r>
    <x v="4"/>
    <s v="01 AL 06/02/2021"/>
    <x v="8"/>
    <s v="4306/2020"/>
    <x v="3"/>
    <s v="E001-67"/>
    <n v="510"/>
    <m/>
    <m/>
  </r>
  <r>
    <x v="4"/>
    <s v="01 AL 06/02/2021"/>
    <x v="20"/>
    <s v="4306/2020"/>
    <x v="3"/>
    <s v="E001-57"/>
    <n v="510"/>
    <m/>
    <m/>
  </r>
  <r>
    <x v="4"/>
    <s v="01 AL 06/02/2021"/>
    <x v="7"/>
    <s v="4306/2020"/>
    <x v="3"/>
    <s v="E001-17"/>
    <n v="690"/>
    <m/>
    <m/>
  </r>
  <r>
    <x v="4"/>
    <d v="2021-02-06T00:00:00"/>
    <x v="14"/>
    <s v="3806/2020"/>
    <x v="5"/>
    <s v="E001-17"/>
    <n v="85"/>
    <m/>
    <m/>
  </r>
  <r>
    <x v="4"/>
    <s v="04, 05/02/2021"/>
    <x v="21"/>
    <s v="3806/2020"/>
    <x v="5"/>
    <s v="E001-24"/>
    <n v="170"/>
    <m/>
    <m/>
  </r>
  <r>
    <x v="4"/>
    <d v="2021-02-02T00:00:00"/>
    <x v="14"/>
    <s v="3806/2020"/>
    <x v="5"/>
    <s v="E001-16"/>
    <n v="85"/>
    <m/>
    <m/>
  </r>
  <r>
    <x v="4"/>
    <s v="02 AL 06/02/2021"/>
    <x v="11"/>
    <s v="3806/2020"/>
    <x v="5"/>
    <s v="E001-9"/>
    <n v="575"/>
    <m/>
    <m/>
  </r>
  <r>
    <x v="4"/>
    <d v="2021-02-06T00:00:00"/>
    <x v="10"/>
    <s v="3806/2020"/>
    <x v="5"/>
    <s v="E001-30"/>
    <n v="85"/>
    <m/>
    <m/>
  </r>
  <r>
    <x v="4"/>
    <s v="04, 05/02/2021"/>
    <x v="22"/>
    <s v="3806/2020"/>
    <x v="5"/>
    <s v="E001-18"/>
    <n v="170"/>
    <m/>
    <m/>
  </r>
  <r>
    <x v="4"/>
    <d v="2021-02-05T00:00:00"/>
    <x v="23"/>
    <s v="3806/2020"/>
    <x v="5"/>
    <s v="E001-3"/>
    <n v="85"/>
    <m/>
    <m/>
  </r>
  <r>
    <x v="4"/>
    <d v="2021-02-02T00:00:00"/>
    <x v="9"/>
    <s v="3806/2020"/>
    <x v="5"/>
    <s v="E001-36"/>
    <n v="85"/>
    <m/>
    <m/>
  </r>
  <r>
    <x v="5"/>
    <d v="2021-02-08T00:00:00"/>
    <x v="1"/>
    <n v="746"/>
    <x v="2"/>
    <s v="E001-308"/>
    <n v="70"/>
    <m/>
    <m/>
  </r>
  <r>
    <x v="5"/>
    <d v="2021-02-08T00:00:00"/>
    <x v="3"/>
    <s v="584, 672"/>
    <x v="4"/>
    <s v="E001-94"/>
    <n v="110"/>
    <m/>
    <m/>
  </r>
  <r>
    <x v="5"/>
    <d v="2021-02-09T00:00:00"/>
    <x v="1"/>
    <n v="812"/>
    <x v="2"/>
    <s v="E001-309"/>
    <n v="70"/>
    <m/>
    <m/>
  </r>
  <r>
    <x v="5"/>
    <d v="2021-02-09T00:00:00"/>
    <x v="9"/>
    <s v="520, 521, 522, 704"/>
    <x v="0"/>
    <s v="E001-39"/>
    <n v="80"/>
    <m/>
    <m/>
  </r>
  <r>
    <x v="5"/>
    <d v="2021-02-09T00:00:00"/>
    <x v="18"/>
    <s v="520, 521, 522, 704"/>
    <x v="7"/>
    <s v="E001-5"/>
    <n v="85"/>
    <m/>
    <m/>
  </r>
  <r>
    <x v="5"/>
    <d v="2021-02-10T00:00:00"/>
    <x v="1"/>
    <n v="768"/>
    <x v="2"/>
    <s v="E001-310"/>
    <n v="70"/>
    <m/>
    <m/>
  </r>
  <r>
    <x v="5"/>
    <d v="2021-02-10T00:00:00"/>
    <x v="0"/>
    <n v="624"/>
    <x v="0"/>
    <s v="E001-195"/>
    <n v="70"/>
    <m/>
    <m/>
  </r>
  <r>
    <x v="5"/>
    <d v="2021-02-10T00:00:00"/>
    <x v="18"/>
    <n v="624"/>
    <x v="7"/>
    <s v="E001-6"/>
    <n v="85"/>
    <m/>
    <m/>
  </r>
  <r>
    <x v="5"/>
    <d v="2021-02-11T00:00:00"/>
    <x v="1"/>
    <n v="916"/>
    <x v="2"/>
    <s v="E001-311"/>
    <n v="70"/>
    <m/>
    <m/>
  </r>
  <r>
    <x v="5"/>
    <d v="2021-02-11T00:00:00"/>
    <x v="1"/>
    <n v="733"/>
    <x v="0"/>
    <s v="E001-312"/>
    <n v="70"/>
    <m/>
    <m/>
  </r>
  <r>
    <x v="5"/>
    <d v="2021-02-11T00:00:00"/>
    <x v="0"/>
    <n v="855"/>
    <x v="2"/>
    <s v="E001-196"/>
    <n v="70"/>
    <m/>
    <m/>
  </r>
  <r>
    <x v="5"/>
    <d v="2021-02-12T00:00:00"/>
    <x v="0"/>
    <n v="969"/>
    <x v="2"/>
    <s v="E001-197"/>
    <n v="70"/>
    <m/>
    <m/>
  </r>
  <r>
    <x v="5"/>
    <d v="2021-02-12T00:00:00"/>
    <x v="9"/>
    <n v="969"/>
    <x v="2"/>
    <s v="E001-40"/>
    <n v="70"/>
    <m/>
    <m/>
  </r>
  <r>
    <x v="5"/>
    <d v="2021-02-12T00:00:00"/>
    <x v="1"/>
    <n v="414"/>
    <x v="0"/>
    <s v="E001-313"/>
    <n v="70"/>
    <m/>
    <m/>
  </r>
  <r>
    <x v="5"/>
    <d v="2021-02-12T00:00:00"/>
    <x v="1"/>
    <n v="465"/>
    <x v="6"/>
    <s v="E001-314"/>
    <n v="70"/>
    <m/>
    <m/>
  </r>
  <r>
    <x v="5"/>
    <d v="2021-02-09T00:00:00"/>
    <x v="1"/>
    <s v="INDUCCION SIMA - CALLAO"/>
    <x v="2"/>
    <s v="E001-315"/>
    <n v="70"/>
    <m/>
    <m/>
  </r>
  <r>
    <x v="5"/>
    <s v="08 AL 13/02/2021"/>
    <x v="12"/>
    <s v="4306/2020"/>
    <x v="3"/>
    <s v="E001-5"/>
    <n v="510"/>
    <m/>
    <m/>
  </r>
  <r>
    <x v="5"/>
    <s v="08 AL 13/02/2021"/>
    <x v="8"/>
    <s v="4306/2020"/>
    <x v="3"/>
    <s v="E001-68"/>
    <n v="510"/>
    <m/>
    <m/>
  </r>
  <r>
    <x v="5"/>
    <s v="08 AL 13/02/2021"/>
    <x v="20"/>
    <s v="4306/2020"/>
    <x v="3"/>
    <s v="E001-58"/>
    <n v="510"/>
    <m/>
    <m/>
  </r>
  <r>
    <x v="5"/>
    <s v="08 AL 13/02/2021"/>
    <x v="7"/>
    <s v="4306/2020"/>
    <x v="3"/>
    <s v="E001-18"/>
    <n v="690"/>
    <m/>
    <m/>
  </r>
  <r>
    <x v="5"/>
    <s v="09, 10/02/2021"/>
    <x v="11"/>
    <s v="3806/2020"/>
    <x v="5"/>
    <s v="E001-10"/>
    <n v="230"/>
    <m/>
    <m/>
  </r>
  <r>
    <x v="5"/>
    <s v="08 AL 10/02/2021"/>
    <x v="23"/>
    <s v="3806/2020"/>
    <x v="5"/>
    <s v="E001-4"/>
    <n v="255"/>
    <m/>
    <m/>
  </r>
  <r>
    <x v="5"/>
    <s v="08 AL 10/02/2021"/>
    <x v="21"/>
    <s v="3806/2020"/>
    <x v="5"/>
    <s v="E001-25"/>
    <n v="255"/>
    <m/>
    <m/>
  </r>
  <r>
    <x v="5"/>
    <s v="08 AL 10/02/2021"/>
    <x v="22"/>
    <s v="3806/2020"/>
    <x v="5"/>
    <s v="E001-19"/>
    <n v="255"/>
    <m/>
    <m/>
  </r>
  <r>
    <x v="5"/>
    <s v="08, 09/02/2021"/>
    <x v="14"/>
    <s v="3806/2020"/>
    <x v="5"/>
    <s v="E001-18"/>
    <n v="170"/>
    <m/>
    <m/>
  </r>
  <r>
    <x v="6"/>
    <d v="2021-02-15T00:00:00"/>
    <x v="4"/>
    <n v="1019"/>
    <x v="1"/>
    <s v="E001-194"/>
    <n v="130"/>
    <m/>
    <m/>
  </r>
  <r>
    <x v="6"/>
    <d v="2021-02-16T00:00:00"/>
    <x v="4"/>
    <n v="1020"/>
    <x v="1"/>
    <s v="E001-195"/>
    <n v="130"/>
    <m/>
    <m/>
  </r>
  <r>
    <x v="6"/>
    <d v="2021-02-16T00:00:00"/>
    <x v="0"/>
    <n v="994"/>
    <x v="2"/>
    <s v="E001-198"/>
    <n v="70"/>
    <m/>
    <m/>
  </r>
  <r>
    <x v="6"/>
    <d v="2021-02-16T00:00:00"/>
    <x v="1"/>
    <n v="1041"/>
    <x v="0"/>
    <s v="E001-316"/>
    <n v="70"/>
    <m/>
    <m/>
  </r>
  <r>
    <x v="6"/>
    <d v="2021-02-17T00:00:00"/>
    <x v="24"/>
    <s v="940, 941"/>
    <x v="2"/>
    <s v="E001-68"/>
    <n v="70"/>
    <m/>
    <m/>
  </r>
  <r>
    <x v="6"/>
    <d v="2021-02-17T00:00:00"/>
    <x v="1"/>
    <s v="940, 941"/>
    <x v="2"/>
    <s v="E001-317"/>
    <n v="80"/>
    <m/>
    <m/>
  </r>
  <r>
    <x v="6"/>
    <d v="2021-02-17T00:00:00"/>
    <x v="0"/>
    <n v="516"/>
    <x v="0"/>
    <s v="E001-199"/>
    <n v="70"/>
    <m/>
    <m/>
  </r>
  <r>
    <x v="6"/>
    <d v="2021-02-17T00:00:00"/>
    <x v="18"/>
    <s v="940, 941"/>
    <x v="7"/>
    <s v="E001-7"/>
    <n v="85"/>
    <m/>
    <m/>
  </r>
  <r>
    <x v="6"/>
    <d v="2021-02-18T00:00:00"/>
    <x v="3"/>
    <n v="1126"/>
    <x v="2"/>
    <s v="E001-95"/>
    <n v="91"/>
    <m/>
    <m/>
  </r>
  <r>
    <x v="6"/>
    <d v="2021-02-18T00:00:00"/>
    <x v="18"/>
    <s v="1053, 1054"/>
    <x v="7"/>
    <s v="E001-8"/>
    <n v="85"/>
    <m/>
    <m/>
  </r>
  <r>
    <x v="6"/>
    <d v="2021-02-18T00:00:00"/>
    <x v="1"/>
    <n v="1121"/>
    <x v="2"/>
    <s v="E001-318"/>
    <n v="70"/>
    <m/>
    <m/>
  </r>
  <r>
    <x v="6"/>
    <d v="2021-02-18T00:00:00"/>
    <x v="24"/>
    <s v="1053, 1054"/>
    <x v="2"/>
    <s v="E001-69"/>
    <n v="70"/>
    <m/>
    <m/>
  </r>
  <r>
    <x v="6"/>
    <d v="2021-02-18T00:00:00"/>
    <x v="0"/>
    <s v="1053, 1054"/>
    <x v="2"/>
    <s v="E001-200"/>
    <n v="70"/>
    <m/>
    <m/>
  </r>
  <r>
    <x v="6"/>
    <d v="2021-02-19T00:00:00"/>
    <x v="24"/>
    <s v="1055, 1056"/>
    <x v="2"/>
    <s v="E001-70"/>
    <n v="70"/>
    <m/>
    <m/>
  </r>
  <r>
    <x v="6"/>
    <d v="2021-02-19T00:00:00"/>
    <x v="18"/>
    <s v="1055, 1056"/>
    <x v="7"/>
    <s v="E001-9"/>
    <n v="85"/>
    <m/>
    <m/>
  </r>
  <r>
    <x v="6"/>
    <d v="2021-02-19T00:00:00"/>
    <x v="1"/>
    <s v="1055, 1056"/>
    <x v="2"/>
    <s v="E001-319"/>
    <n v="80"/>
    <m/>
    <m/>
  </r>
  <r>
    <x v="6"/>
    <d v="2021-02-19T00:00:00"/>
    <x v="0"/>
    <n v="1167"/>
    <x v="0"/>
    <s v="E001-201"/>
    <n v="70"/>
    <m/>
    <m/>
  </r>
  <r>
    <x v="6"/>
    <d v="2021-02-20T00:00:00"/>
    <x v="3"/>
    <n v="1200"/>
    <x v="2"/>
    <s v="E001-96"/>
    <n v="91"/>
    <m/>
    <m/>
  </r>
  <r>
    <x v="6"/>
    <d v="2021-02-20T00:00:00"/>
    <x v="18"/>
    <n v="1200"/>
    <x v="7"/>
    <s v="E001-10"/>
    <n v="85"/>
    <m/>
    <m/>
  </r>
  <r>
    <x v="6"/>
    <d v="2021-02-20T00:00:00"/>
    <x v="1"/>
    <n v="1180"/>
    <x v="0"/>
    <s v="E001-320"/>
    <n v="70"/>
    <m/>
    <m/>
  </r>
  <r>
    <x v="6"/>
    <d v="2021-02-17T00:00:00"/>
    <x v="10"/>
    <n v="887"/>
    <x v="1"/>
    <s v="E001-35"/>
    <n v="85"/>
    <m/>
    <m/>
  </r>
  <r>
    <x v="6"/>
    <d v="2021-02-17T00:00:00"/>
    <x v="10"/>
    <n v="887"/>
    <x v="1"/>
    <s v="E001-36"/>
    <n v="127.5"/>
    <m/>
    <m/>
  </r>
  <r>
    <x v="6"/>
    <d v="2021-02-17T00:00:00"/>
    <x v="14"/>
    <n v="887"/>
    <x v="1"/>
    <s v="E001-21"/>
    <n v="70"/>
    <m/>
    <m/>
  </r>
  <r>
    <x v="6"/>
    <d v="2021-02-17T00:00:00"/>
    <x v="9"/>
    <n v="887"/>
    <x v="1"/>
    <s v="E001-41"/>
    <n v="70"/>
    <m/>
    <m/>
  </r>
  <r>
    <x v="6"/>
    <d v="2021-02-17T00:00:00"/>
    <x v="15"/>
    <n v="887"/>
    <x v="1"/>
    <s v="E001-47"/>
    <n v="85"/>
    <m/>
    <m/>
  </r>
  <r>
    <x v="6"/>
    <d v="2021-02-18T00:00:00"/>
    <x v="10"/>
    <n v="888"/>
    <x v="1"/>
    <s v="E001-37"/>
    <n v="85"/>
    <m/>
    <m/>
  </r>
  <r>
    <x v="6"/>
    <d v="2021-02-18T00:00:00"/>
    <x v="10"/>
    <n v="888"/>
    <x v="1"/>
    <s v="E001-38"/>
    <n v="127.5"/>
    <m/>
    <m/>
  </r>
  <r>
    <x v="6"/>
    <d v="2021-02-18T00:00:00"/>
    <x v="14"/>
    <n v="888"/>
    <x v="1"/>
    <s v="E001-22"/>
    <n v="70"/>
    <m/>
    <m/>
  </r>
  <r>
    <x v="6"/>
    <d v="2021-02-18T00:00:00"/>
    <x v="9"/>
    <n v="888"/>
    <x v="1"/>
    <s v="E001-42"/>
    <n v="70"/>
    <m/>
    <m/>
  </r>
  <r>
    <x v="6"/>
    <d v="2021-02-18T00:00:00"/>
    <x v="15"/>
    <n v="888"/>
    <x v="1"/>
    <s v="E001-48"/>
    <n v="85"/>
    <m/>
    <m/>
  </r>
  <r>
    <x v="6"/>
    <d v="2021-02-19T00:00:00"/>
    <x v="10"/>
    <n v="888"/>
    <x v="1"/>
    <s v="E001-39"/>
    <n v="85"/>
    <m/>
    <m/>
  </r>
  <r>
    <x v="6"/>
    <d v="2021-02-19T00:00:00"/>
    <x v="14"/>
    <n v="888"/>
    <x v="1"/>
    <s v="E001-23"/>
    <n v="70"/>
    <m/>
    <m/>
  </r>
  <r>
    <x v="6"/>
    <d v="2021-02-19T00:00:00"/>
    <x v="9"/>
    <n v="888"/>
    <x v="1"/>
    <s v="E001-43"/>
    <n v="70"/>
    <m/>
    <m/>
  </r>
  <r>
    <x v="6"/>
    <d v="2021-02-19T00:00:00"/>
    <x v="15"/>
    <n v="888"/>
    <x v="1"/>
    <s v="E001-49"/>
    <n v="85"/>
    <m/>
    <m/>
  </r>
  <r>
    <x v="6"/>
    <d v="2021-02-15T00:00:00"/>
    <x v="10"/>
    <n v="716"/>
    <x v="1"/>
    <s v="E001-32"/>
    <n v="85"/>
    <m/>
    <m/>
  </r>
  <r>
    <x v="6"/>
    <d v="2021-02-16T00:00:00"/>
    <x v="10"/>
    <n v="716"/>
    <x v="1"/>
    <s v="E001-33"/>
    <n v="85"/>
    <m/>
    <m/>
  </r>
  <r>
    <x v="6"/>
    <d v="2021-02-16T00:00:00"/>
    <x v="10"/>
    <n v="716"/>
    <x v="1"/>
    <s v="E001-94"/>
    <n v="95"/>
    <m/>
    <m/>
  </r>
  <r>
    <x v="6"/>
    <d v="2021-02-16T00:00:00"/>
    <x v="14"/>
    <n v="716"/>
    <x v="1"/>
    <s v="E001-20"/>
    <n v="70"/>
    <m/>
    <m/>
  </r>
  <r>
    <x v="6"/>
    <s v="16 AL 20/02/2021"/>
    <x v="12"/>
    <s v="4306/2020"/>
    <x v="3"/>
    <s v="E001-6"/>
    <n v="425"/>
    <m/>
    <m/>
  </r>
  <r>
    <x v="6"/>
    <s v="15 AL 20/02/2021"/>
    <x v="8"/>
    <s v=" 4306/2020"/>
    <x v="3"/>
    <s v="E001-69"/>
    <n v="510"/>
    <m/>
    <m/>
  </r>
  <r>
    <x v="6"/>
    <s v="15 AL 20/02/2021"/>
    <x v="5"/>
    <s v="4306/2020"/>
    <x v="3"/>
    <s v="E001-53"/>
    <n v="470"/>
    <m/>
    <m/>
  </r>
  <r>
    <x v="6"/>
    <s v="15 AL 20/02/2021"/>
    <x v="7"/>
    <s v="4306/2020"/>
    <x v="3"/>
    <s v="E001-19"/>
    <n v="690"/>
    <m/>
    <m/>
  </r>
  <r>
    <x v="7"/>
    <d v="2021-02-22T00:00:00"/>
    <x v="0"/>
    <n v="1096"/>
    <x v="0"/>
    <s v="E001-202"/>
    <n v="70"/>
    <m/>
    <m/>
  </r>
  <r>
    <x v="7"/>
    <d v="2021-02-22T00:00:00"/>
    <x v="1"/>
    <n v="402"/>
    <x v="2"/>
    <s v="E001-322"/>
    <n v="70"/>
    <m/>
    <m/>
  </r>
  <r>
    <x v="7"/>
    <d v="2021-02-22T00:00:00"/>
    <x v="18"/>
    <m/>
    <x v="7"/>
    <s v="E001-12"/>
    <n v="85"/>
    <m/>
    <m/>
  </r>
  <r>
    <x v="7"/>
    <d v="2021-02-23T00:00:00"/>
    <x v="1"/>
    <n v="1161"/>
    <x v="0"/>
    <s v="E001-323"/>
    <n v="70"/>
    <m/>
    <m/>
  </r>
  <r>
    <x v="7"/>
    <d v="2021-02-24T00:00:00"/>
    <x v="18"/>
    <m/>
    <x v="7"/>
    <s v="E001-13"/>
    <n v="85"/>
    <m/>
    <m/>
  </r>
  <r>
    <x v="7"/>
    <d v="2021-02-24T00:00:00"/>
    <x v="1"/>
    <n v="1251"/>
    <x v="2"/>
    <s v="E001-324"/>
    <n v="70"/>
    <m/>
    <m/>
  </r>
  <r>
    <x v="7"/>
    <d v="2021-02-24T00:00:00"/>
    <x v="3"/>
    <n v="1284"/>
    <x v="2"/>
    <s v="E001-97"/>
    <n v="102"/>
    <m/>
    <m/>
  </r>
  <r>
    <x v="7"/>
    <d v="2021-02-24T00:00:00"/>
    <x v="0"/>
    <s v="1011, 1021, 1022"/>
    <x v="2"/>
    <s v="E001-203"/>
    <n v="70"/>
    <m/>
    <m/>
  </r>
  <r>
    <x v="7"/>
    <d v="2021-02-24T00:00:00"/>
    <x v="1"/>
    <n v="1208"/>
    <x v="0"/>
    <s v="E001-325"/>
    <n v="70"/>
    <m/>
    <m/>
  </r>
  <r>
    <x v="7"/>
    <d v="2021-02-24T00:00:00"/>
    <x v="24"/>
    <n v="968"/>
    <x v="0"/>
    <s v="E001-71"/>
    <n v="70"/>
    <m/>
    <m/>
  </r>
  <r>
    <x v="7"/>
    <d v="2021-02-24T00:00:00"/>
    <x v="8"/>
    <n v="1221"/>
    <x v="1"/>
    <s v="E001-71"/>
    <n v="74"/>
    <m/>
    <m/>
  </r>
  <r>
    <x v="7"/>
    <d v="2021-02-24T00:00:00"/>
    <x v="18"/>
    <m/>
    <x v="7"/>
    <s v="E001-14"/>
    <n v="51"/>
    <m/>
    <m/>
  </r>
  <r>
    <x v="7"/>
    <d v="2021-02-25T00:00:00"/>
    <x v="1"/>
    <n v="606"/>
    <x v="2"/>
    <s v="E001-326"/>
    <n v="70"/>
    <m/>
    <m/>
  </r>
  <r>
    <x v="7"/>
    <d v="2021-02-25T00:00:00"/>
    <x v="0"/>
    <n v="1262"/>
    <x v="2"/>
    <s v="E001-204"/>
    <n v="70"/>
    <m/>
    <m/>
  </r>
  <r>
    <x v="7"/>
    <d v="2021-02-25T00:00:00"/>
    <x v="0"/>
    <n v="1308"/>
    <x v="2"/>
    <s v="E001-205"/>
    <n v="70"/>
    <m/>
    <m/>
  </r>
  <r>
    <x v="7"/>
    <d v="2021-02-26T00:00:00"/>
    <x v="0"/>
    <n v="1322"/>
    <x v="2"/>
    <s v="E001-206"/>
    <n v="70"/>
    <m/>
    <m/>
  </r>
  <r>
    <x v="7"/>
    <d v="2021-02-26T00:00:00"/>
    <x v="1"/>
    <n v="1176"/>
    <x v="2"/>
    <s v="E001-327"/>
    <n v="70"/>
    <m/>
    <m/>
  </r>
  <r>
    <x v="7"/>
    <d v="2021-02-26T00:00:00"/>
    <x v="24"/>
    <n v="1272"/>
    <x v="0"/>
    <s v="E001-72"/>
    <n v="70"/>
    <m/>
    <m/>
  </r>
  <r>
    <x v="7"/>
    <d v="2021-02-26T00:00:00"/>
    <x v="18"/>
    <m/>
    <x v="7"/>
    <s v="E001-15"/>
    <n v="85"/>
    <m/>
    <m/>
  </r>
  <r>
    <x v="7"/>
    <d v="2021-02-27T00:00:00"/>
    <x v="18"/>
    <m/>
    <x v="7"/>
    <s v="E001-16"/>
    <n v="120"/>
    <m/>
    <m/>
  </r>
  <r>
    <x v="7"/>
    <d v="2021-02-27T00:00:00"/>
    <x v="1"/>
    <n v="1357"/>
    <x v="2"/>
    <s v="E001-328"/>
    <n v="70"/>
    <m/>
    <m/>
  </r>
  <r>
    <x v="8"/>
    <s v="13 AL 27 DE FEBRERO"/>
    <x v="14"/>
    <s v="3806/2020"/>
    <x v="5"/>
    <s v="E001-26"/>
    <n v="630"/>
    <m/>
    <m/>
  </r>
  <r>
    <x v="8"/>
    <s v="11 AL 27 DE FEBRERO"/>
    <x v="11"/>
    <s v="3806/2020"/>
    <x v="5"/>
    <s v="E001-11"/>
    <n v="1125"/>
    <m/>
    <m/>
  </r>
  <r>
    <x v="8"/>
    <s v="22 AL 27 DE FEBRERO"/>
    <x v="8"/>
    <s v="3806/2020"/>
    <x v="5"/>
    <s v="E001-70"/>
    <n v="333.5"/>
    <m/>
    <m/>
  </r>
  <r>
    <x v="8"/>
    <s v="22 AL 27 DE FEBRERO"/>
    <x v="5"/>
    <s v="3806/2020"/>
    <x v="5"/>
    <s v="E001-54"/>
    <n v="400.2"/>
    <m/>
    <m/>
  </r>
  <r>
    <x v="8"/>
    <s v="11 AL 27 DE FEBRERO"/>
    <x v="25"/>
    <s v="3806/2020"/>
    <x v="5"/>
    <s v="E001-16"/>
    <n v="1000.5"/>
    <m/>
    <m/>
  </r>
  <r>
    <x v="8"/>
    <s v="11 AL 27 DE FEBRERO"/>
    <x v="26"/>
    <s v="3806/2020"/>
    <x v="5"/>
    <s v="E001-1"/>
    <n v="1000.5"/>
    <m/>
    <m/>
  </r>
  <r>
    <x v="8"/>
    <s v="16 AL 27 DE FEBRERO"/>
    <x v="23"/>
    <s v="3806/2020"/>
    <x v="5"/>
    <s v="E001-8"/>
    <n v="733.7"/>
    <m/>
    <m/>
  </r>
  <r>
    <x v="8"/>
    <s v="22 AL 27 DE FEBRERO"/>
    <x v="12"/>
    <s v="3806/2020"/>
    <x v="5"/>
    <s v="E001-7"/>
    <n v="400"/>
    <m/>
    <m/>
  </r>
  <r>
    <x v="8"/>
    <s v="15 AL 27 DE FEBRERO"/>
    <x v="21"/>
    <s v="3806/2020"/>
    <x v="5"/>
    <s v="E001-26"/>
    <n v="800"/>
    <m/>
    <m/>
  </r>
  <r>
    <x v="8"/>
    <d v="2021-02-20T00:00:00"/>
    <x v="10"/>
    <s v="3806/2020"/>
    <x v="5"/>
    <s v="E001-40"/>
    <n v="67"/>
    <m/>
    <m/>
  </r>
  <r>
    <x v="8"/>
    <s v="11, 12, 13/02/2021"/>
    <x v="10"/>
    <s v="3806/2020"/>
    <x v="5"/>
    <s v="E001-31"/>
    <n v="201"/>
    <m/>
    <m/>
  </r>
  <r>
    <x v="8"/>
    <s v="15 AL 27 DE FEBRERO"/>
    <x v="27"/>
    <s v="3806/2020"/>
    <x v="5"/>
    <s v="E001-19"/>
    <n v="800.4"/>
    <m/>
    <m/>
  </r>
  <r>
    <x v="8"/>
    <s v="11 AL 27 DE FEBRERO"/>
    <x v="28"/>
    <s v="3806/2020"/>
    <x v="5"/>
    <s v="E001-1"/>
    <n v="1000"/>
    <m/>
    <m/>
  </r>
  <r>
    <x v="8"/>
    <s v="11 AL 27 DE FEBRERO"/>
    <x v="29"/>
    <s v="3806/2020"/>
    <x v="5"/>
    <s v="E001-3"/>
    <n v="1000"/>
    <m/>
    <m/>
  </r>
  <r>
    <x v="8"/>
    <s v="23 AL 27 DE FEBRERO"/>
    <x v="10"/>
    <s v="3806/2020"/>
    <x v="5"/>
    <s v="E001-41"/>
    <n v="335"/>
    <m/>
    <m/>
  </r>
  <r>
    <x v="9"/>
    <d v="2021-03-01T00:00:00"/>
    <x v="1"/>
    <n v="1261"/>
    <x v="2"/>
    <s v="E001-330"/>
    <n v="70"/>
    <m/>
    <m/>
  </r>
  <r>
    <x v="9"/>
    <d v="2021-03-01T00:00:00"/>
    <x v="1"/>
    <n v="1356"/>
    <x v="0"/>
    <s v="E001-331"/>
    <n v="70"/>
    <m/>
    <m/>
  </r>
  <r>
    <x v="9"/>
    <d v="2021-03-02T00:00:00"/>
    <x v="0"/>
    <n v="1343"/>
    <x v="2"/>
    <s v="E001-207"/>
    <n v="70"/>
    <m/>
    <m/>
  </r>
  <r>
    <x v="9"/>
    <d v="2021-03-02T00:00:00"/>
    <x v="1"/>
    <n v="1326"/>
    <x v="2"/>
    <s v="E001-332"/>
    <n v="70"/>
    <m/>
    <m/>
  </r>
  <r>
    <x v="9"/>
    <d v="2021-03-04T00:00:00"/>
    <x v="1"/>
    <n v="1392"/>
    <x v="2"/>
    <s v="E001-329"/>
    <n v="70"/>
    <m/>
    <m/>
  </r>
  <r>
    <x v="9"/>
    <d v="2021-03-04T00:00:00"/>
    <x v="18"/>
    <m/>
    <x v="7"/>
    <s v="E001-17"/>
    <n v="85"/>
    <m/>
    <m/>
  </r>
  <r>
    <x v="9"/>
    <d v="2021-03-05T00:00:00"/>
    <x v="1"/>
    <n v="1344"/>
    <x v="2"/>
    <s v="E001-333"/>
    <n v="80"/>
    <m/>
    <m/>
  </r>
  <r>
    <x v="9"/>
    <d v="2021-03-06T00:00:00"/>
    <x v="4"/>
    <s v="1463, 1464"/>
    <x v="1"/>
    <s v="E001-197"/>
    <n v="140"/>
    <m/>
    <m/>
  </r>
  <r>
    <x v="9"/>
    <d v="2021-03-06T00:00:00"/>
    <x v="19"/>
    <s v="1463, 1464"/>
    <x v="1"/>
    <s v="E001-87"/>
    <n v="100"/>
    <m/>
    <m/>
  </r>
  <r>
    <x v="9"/>
    <d v="2021-03-06T00:00:00"/>
    <x v="0"/>
    <n v="1479"/>
    <x v="0"/>
    <s v="E001-208"/>
    <n v="7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AGO INSPECTOR(PI)" cacheId="13" applyNumberFormats="0" applyBorderFormats="0" applyFontFormats="0" applyPatternFormats="0" applyAlignmentFormats="0" applyWidthHeightFormats="0" dataCaption="" updatedVersion="8" compact="0" compactData="0">
  <location ref="L3:Q6" firstHeaderRow="1" firstDataRow="2" firstDataCol="1" rowPageCount="1" colPageCount="1"/>
  <pivotFields count="9">
    <pivotField name="SEMANA" axis="axisCol" compact="0" numFmtId="49" outline="0" multipleItemSelectionAllowed="1" showAll="0" sortType="ascending">
      <items count="11">
        <item h="1" x="0"/>
        <item h="1" x="1"/>
        <item h="1" x="2"/>
        <item h="1" x="3"/>
        <item x="4"/>
        <item x="5"/>
        <item h="1" x="8"/>
        <item x="6"/>
        <item x="7"/>
        <item h="1" x="9"/>
        <item t="default"/>
      </items>
    </pivotField>
    <pivotField name="FECHA SERVICIO" compact="0" outline="0" multipleItemSelectionAllowed="1" showAll="0"/>
    <pivotField name="INSPECTOR" axis="axisRow" compact="0" outline="0" multipleItemSelectionAllowed="1" showAll="0" sortType="ascending">
      <items count="31">
        <item x="18"/>
        <item h="1" x="1"/>
        <item h="1" x="28"/>
        <item h="1" x="0"/>
        <item h="1" x="26"/>
        <item h="1" x="5"/>
        <item h="1" x="3"/>
        <item h="1" x="2"/>
        <item h="1" x="10"/>
        <item h="1" x="8"/>
        <item h="1" x="22"/>
        <item h="1" x="19"/>
        <item h="1" x="12"/>
        <item h="1" x="14"/>
        <item h="1" x="6"/>
        <item h="1" x="4"/>
        <item h="1" x="25"/>
        <item h="1" x="13"/>
        <item h="1" x="16"/>
        <item h="1" x="7"/>
        <item h="1" x="20"/>
        <item h="1" x="21"/>
        <item h="1" x="9"/>
        <item h="1" x="27"/>
        <item h="1" x="17"/>
        <item h="1" x="11"/>
        <item h="1" x="29"/>
        <item h="1" x="15"/>
        <item h="1" x="23"/>
        <item h="1" x="24"/>
        <item t="default"/>
      </items>
    </pivotField>
    <pivotField name="CMA/2021" compact="0" outline="0" multipleItemSelectionAllowed="1" showAll="0"/>
    <pivotField name="LINEA NEGOCIO" axis="axisPage" compact="0" outline="0" multipleItemSelectionAllowed="1" showAll="0">
      <items count="9">
        <item h="1" x="0"/>
        <item h="1" x="1"/>
        <item h="1" x="2"/>
        <item h="1" x="3"/>
        <item h="1" x="4"/>
        <item h="1" x="5"/>
        <item h="1" x="6"/>
        <item x="7"/>
        <item t="default"/>
      </items>
    </pivotField>
    <pivotField name="N° RECIBO X HONORARIOS" compact="0" outline="0" multipleItemSelectionAllowed="1" showAll="0"/>
    <pivotField name="TOTAL" dataField="1" compact="0" numFmtId="166" outline="0" multipleItemSelectionAllowed="1" showAll="0"/>
    <pivotField name="TOTAL SEMANA" compact="0" outline="0" multipleItemSelectionAllowed="1" showAll="0"/>
    <pivotField name="FECHA DE PAGO" compact="0" outline="0" multipleItemSelectionAllowed="1" showAll="0"/>
  </pivotFields>
  <rowFields count="1">
    <field x="2"/>
  </rowFields>
  <rowItems count="2">
    <i>
      <x/>
    </i>
    <i t="grand">
      <x/>
    </i>
  </rowItems>
  <colFields count="1">
    <field x="0"/>
  </colFields>
  <colItems count="5">
    <i>
      <x v="4"/>
    </i>
    <i>
      <x v="5"/>
    </i>
    <i>
      <x v="7"/>
    </i>
    <i>
      <x v="8"/>
    </i>
    <i t="grand">
      <x/>
    </i>
  </colItems>
  <pageFields count="1">
    <pageField fld="4" hier="0"/>
  </pageFields>
  <dataFields count="1">
    <dataField name="Suma de TOTAL" fld="6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4" dT="2025-07-22T20:01:45.89" personId="{21D1E24D-B955-48E7-8157-F8E2E3B5F56D}" id="{ECB99C81-CD6D-4E99-A37D-97402E63B259}">
    <text>EDGAR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90" dT="2025-03-31T14:07:35.01" personId="{21D1E24D-B955-48E7-8157-F8E2E3B5F56D}" id="{B91B728F-FB61-4283-94BC-66A71347ECBF}">
    <text>Se canceló servicio</text>
  </threadedComment>
  <threadedComment ref="N215" dT="2025-07-03T15:53:06.88" personId="{21D1E24D-B955-48E7-8157-F8E2E3B5F56D}" id="{1D8FB6B6-ECCC-47AA-88F3-44C5D635DEF6}">
    <text>OSCAR FREE</text>
  </threadedComment>
  <threadedComment ref="N217" dT="2025-07-03T15:53:22.37" personId="{21D1E24D-B955-48E7-8157-F8E2E3B5F56D}" id="{9ACD4568-356C-428B-90B0-5621DCC020F9}">
    <text>OSCAR FREE</text>
  </threadedComment>
  <threadedComment ref="N220" dT="2025-07-03T15:54:07.56" personId="{21D1E24D-B955-48E7-8157-F8E2E3B5F56D}" id="{1A3BAB82-6AD9-4260-9DD6-D44564C58E90}">
    <text xml:space="preserve">OSCAR FREE
</text>
  </threadedComment>
  <threadedComment ref="N221" dT="2025-07-03T16:16:59.11" personId="{21D1E24D-B955-48E7-8157-F8E2E3B5F56D}" id="{43EDFC74-BEE1-40BC-A70C-4EDADD06CFFF}">
    <text xml:space="preserve">Oscar free
</text>
  </threadedComment>
  <threadedComment ref="N222" dT="2025-07-03T21:24:49.69" personId="{21D1E24D-B955-48E7-8157-F8E2E3B5F56D}" id="{1E97FC29-D62F-41F3-B6E3-00F78AD5A02A}">
    <text>FREE AREQUIPA</text>
  </threadedComment>
  <threadedComment ref="N223" dT="2025-07-04T15:52:50.10" personId="{21D1E24D-B955-48E7-8157-F8E2E3B5F56D}" id="{696474B6-317F-48C7-A001-D927143C2B52}">
    <text>OSCAR FREE</text>
  </threadedComment>
  <threadedComment ref="N224" dT="2025-07-07T15:56:16.84" personId="{21D1E24D-B955-48E7-8157-F8E2E3B5F56D}" id="{2329852A-C612-4692-93C0-3FE6594CD19C}">
    <text>AREQUIA FREE-OSCAR</text>
  </threadedComment>
  <threadedComment ref="N227" dT="2025-07-17T18:02:27.63" personId="{21D1E24D-B955-48E7-8157-F8E2E3B5F56D}" id="{1E6CD96F-1A60-4BB4-B726-71ED5D3757C8}">
    <text>Edgar rendira</text>
  </threadedComment>
  <threadedComment ref="N232" dT="2025-07-09T21:19:08.94" personId="{21D1E24D-B955-48E7-8157-F8E2E3B5F56D}" id="{8F882060-BE94-4A70-8C68-EEDA5DC6EB0D}">
    <text>OSCAR FREE</text>
  </threadedComment>
  <threadedComment ref="N235" dT="2025-07-14T16:19:44.18" personId="{21D1E24D-B955-48E7-8157-F8E2E3B5F56D}" id="{7780E461-69AF-44C2-AD28-244E9766844D}">
    <text>Oscar free</text>
  </threadedComment>
  <threadedComment ref="N239" dT="2025-07-17T18:44:00.37" personId="{21D1E24D-B955-48E7-8157-F8E2E3B5F56D}" id="{54FA59EF-21EF-4BC3-9048-F695EE16CD0C}">
    <text>No se realizo servicio</text>
  </threadedComment>
  <threadedComment ref="N241" dT="2025-07-16T14:45:23.95" personId="{21D1E24D-B955-48E7-8157-F8E2E3B5F56D}" id="{65D8C64D-0F2E-45C1-9FEC-37FB7D0CD512}">
    <text>Eduardo guzman</text>
  </threadedComment>
  <threadedComment ref="N242" dT="2025-07-16T14:46:52.33" personId="{21D1E24D-B955-48E7-8157-F8E2E3B5F56D}" id="{8E58ABEB-D1CA-4BAF-BAB8-2490D1D871B7}">
    <text xml:space="preserve">OSCAR AGUILAR
</text>
  </threadedComment>
  <threadedComment ref="N243" dT="2025-07-16T19:25:14.40" personId="{21D1E24D-B955-48E7-8157-F8E2E3B5F56D}" id="{5E979B0C-45D4-4A7C-89EE-B04D9DC12CA1}">
    <text xml:space="preserve">EDUARDO GUZMAN
</text>
  </threadedComment>
  <threadedComment ref="N245" dT="2025-07-17T20:49:19.99" personId="{21D1E24D-B955-48E7-8157-F8E2E3B5F56D}" id="{1ABD4D5A-A5DA-469D-83D5-3C5B229663F2}">
    <text>OSCAR FREE</text>
  </threadedComment>
  <threadedComment ref="P249" dT="2025-07-22T22:44:12.62" personId="{21D1E24D-B955-48E7-8157-F8E2E3B5F56D}" id="{B40CD1BF-CD22-4AFE-9CDB-6C84D0AD7491}">
    <text>OSCAR AGUILAR</text>
  </threadedComment>
  <threadedComment ref="N257" dT="2025-08-01T16:45:13.59" personId="{21D1E24D-B955-48E7-8157-F8E2E3B5F56D}" id="{644F57C4-A988-47FC-9616-ED379CEB2B35}">
    <text>Joven de pichanaki</text>
  </threadedComment>
  <threadedComment ref="B260" dT="2025-08-13T20:00:57.23" personId="{21D1E24D-B955-48E7-8157-F8E2E3B5F56D}" id="{8F4FC48B-2491-4896-8581-EC5204506CC5}">
    <text>Desde aca se coloca unidad de negocio</text>
  </threadedComment>
  <threadedComment ref="P264" dT="2025-08-13T19:41:23.88" personId="{21D1E24D-B955-48E7-8157-F8E2E3B5F56D}" id="{C9F8F566-198D-429F-8628-4142C480948D}">
    <text>OSCAR AGUILAR</text>
  </threadedComment>
  <threadedComment ref="P268" dT="2025-08-18T19:32:34.29" personId="{21D1E24D-B955-48E7-8157-F8E2E3B5F56D}" id="{2E089EE3-BED3-4BCB-A242-88818824429A}">
    <text>OSCAR AGUILAR</text>
  </threadedComment>
  <threadedComment ref="P270" dT="2025-08-20T15:49:20.19" personId="{56DDDD3A-985C-49E0-8410-75F619EF1DA2}" id="{6F2DECE5-CF20-4BAF-A756-F2B0E2908D75}">
    <text>F.L (WILSON CHAMORRO)</text>
  </threadedComment>
  <threadedComment ref="P273" dT="2025-08-20T15:49:20.19" personId="{56DDDD3A-985C-49E0-8410-75F619EF1DA2}" id="{8EC873FD-0C7E-4195-B006-AB986F6A953E}">
    <text>INSP. PICHANAQUI</text>
  </threadedComment>
  <threadedComment ref="P279" dT="2025-08-18T19:32:34.29" personId="{21D1E24D-B955-48E7-8157-F8E2E3B5F56D}" id="{1233269F-E82C-435A-A030-D94FBFCD3A36}">
    <text>OSCAR AGUILAR</text>
  </threadedComment>
  <threadedComment ref="P282" dT="2025-08-18T19:32:34.29" personId="{21D1E24D-B955-48E7-8157-F8E2E3B5F56D}" id="{34904FEC-1467-4CAE-ABB2-C48C0D44EEB5}">
    <text>OSCAR AGUILAR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M67" dT="2025-05-08T14:02:23.43" personId="{21D1E24D-B955-48E7-8157-F8E2E3B5F56D}" id="{35D41575-F8AB-49F7-9B9A-16C3AADE2ACA}">
    <text>PREGUNTAR SI SE ENTREGO A CONTABILIDAD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Q1000"/>
  <sheetViews>
    <sheetView workbookViewId="0">
      <pane ySplit="1" topLeftCell="A2" activePane="bottomLeft" state="frozen"/>
      <selection pane="bottomLeft" activeCell="V209" sqref="V209"/>
    </sheetView>
  </sheetViews>
  <sheetFormatPr baseColWidth="10" defaultColWidth="12.625" defaultRowHeight="15" customHeight="1" x14ac:dyDescent="0.2"/>
  <cols>
    <col min="1" max="1" width="14.75" customWidth="1"/>
    <col min="2" max="2" width="10" customWidth="1"/>
    <col min="3" max="3" width="15.875" customWidth="1"/>
    <col min="4" max="4" width="16.25" customWidth="1"/>
    <col min="5" max="5" width="16" customWidth="1"/>
    <col min="6" max="6" width="21.625" customWidth="1"/>
    <col min="7" max="7" width="22.25" customWidth="1"/>
    <col min="8" max="8" width="10" customWidth="1"/>
    <col min="11" max="11" width="10" customWidth="1"/>
    <col min="12" max="12" width="17" customWidth="1"/>
    <col min="13" max="13" width="24.125" customWidth="1"/>
    <col min="14" max="16" width="9.875" customWidth="1"/>
    <col min="17" max="17" width="11" customWidth="1"/>
    <col min="18" max="26" width="10" customWidth="1"/>
  </cols>
  <sheetData>
    <row r="1" spans="1:17" x14ac:dyDescent="0.25">
      <c r="A1" s="10" t="s">
        <v>46</v>
      </c>
      <c r="B1" s="11" t="s">
        <v>47</v>
      </c>
      <c r="C1" s="11" t="s">
        <v>48</v>
      </c>
      <c r="D1" s="11" t="s">
        <v>49</v>
      </c>
      <c r="E1" s="11" t="s">
        <v>14</v>
      </c>
      <c r="F1" s="12" t="s">
        <v>50</v>
      </c>
      <c r="G1" s="12" t="s">
        <v>51</v>
      </c>
      <c r="H1" s="11" t="s">
        <v>3</v>
      </c>
      <c r="I1" s="11" t="s">
        <v>52</v>
      </c>
      <c r="J1" s="12" t="s">
        <v>53</v>
      </c>
      <c r="L1" s="167" t="s">
        <v>50</v>
      </c>
      <c r="M1" s="166" t="s">
        <v>221</v>
      </c>
      <c r="N1" s="13"/>
      <c r="O1" s="13"/>
      <c r="P1" s="13"/>
      <c r="Q1" s="14"/>
    </row>
    <row r="2" spans="1:17" x14ac:dyDescent="0.25">
      <c r="A2" s="15" t="s">
        <v>54</v>
      </c>
      <c r="B2" s="16" t="s">
        <v>35</v>
      </c>
      <c r="C2" s="16" t="s">
        <v>55</v>
      </c>
      <c r="D2" s="15" t="s">
        <v>5</v>
      </c>
      <c r="E2" s="17" t="s">
        <v>4</v>
      </c>
      <c r="F2" s="18" t="s">
        <v>27</v>
      </c>
      <c r="G2" s="17" t="s">
        <v>56</v>
      </c>
      <c r="H2" s="19">
        <v>70</v>
      </c>
      <c r="I2" s="19"/>
      <c r="J2" s="20"/>
      <c r="M2" s="21"/>
      <c r="N2" s="14"/>
      <c r="O2" s="14"/>
      <c r="P2" s="14"/>
      <c r="Q2" s="14"/>
    </row>
    <row r="3" spans="1:17" x14ac:dyDescent="0.25">
      <c r="A3" s="15" t="s">
        <v>54</v>
      </c>
      <c r="B3" s="16" t="s">
        <v>35</v>
      </c>
      <c r="C3" s="16" t="s">
        <v>57</v>
      </c>
      <c r="D3" s="15" t="s">
        <v>5</v>
      </c>
      <c r="E3" s="17">
        <v>79</v>
      </c>
      <c r="F3" s="18" t="s">
        <v>27</v>
      </c>
      <c r="G3" s="17" t="s">
        <v>58</v>
      </c>
      <c r="H3" s="19">
        <v>70</v>
      </c>
      <c r="I3" s="19"/>
      <c r="J3" s="20"/>
      <c r="L3" s="158" t="s">
        <v>59</v>
      </c>
      <c r="M3" s="158" t="s">
        <v>47</v>
      </c>
      <c r="N3" s="159"/>
      <c r="O3" s="159"/>
      <c r="P3" s="159"/>
      <c r="Q3" s="160"/>
    </row>
    <row r="4" spans="1:17" x14ac:dyDescent="0.25">
      <c r="A4" s="15" t="s">
        <v>54</v>
      </c>
      <c r="B4" s="16" t="s">
        <v>35</v>
      </c>
      <c r="C4" s="16" t="s">
        <v>60</v>
      </c>
      <c r="D4" s="15" t="s">
        <v>5</v>
      </c>
      <c r="E4" s="17">
        <v>127</v>
      </c>
      <c r="F4" s="18" t="s">
        <v>26</v>
      </c>
      <c r="G4" s="17" t="s">
        <v>61</v>
      </c>
      <c r="H4" s="19">
        <v>70</v>
      </c>
      <c r="I4" s="19"/>
      <c r="J4" s="20"/>
      <c r="L4" s="158" t="s">
        <v>49</v>
      </c>
      <c r="M4" s="161" t="s">
        <v>62</v>
      </c>
      <c r="N4" s="162" t="s">
        <v>63</v>
      </c>
      <c r="O4" s="162" t="s">
        <v>64</v>
      </c>
      <c r="P4" s="162" t="s">
        <v>65</v>
      </c>
      <c r="Q4" s="163" t="s">
        <v>379</v>
      </c>
    </row>
    <row r="5" spans="1:17" x14ac:dyDescent="0.25">
      <c r="A5" s="15" t="s">
        <v>54</v>
      </c>
      <c r="B5" s="16" t="s">
        <v>35</v>
      </c>
      <c r="C5" s="16" t="s">
        <v>60</v>
      </c>
      <c r="D5" s="15" t="s">
        <v>6</v>
      </c>
      <c r="E5" s="17">
        <v>1</v>
      </c>
      <c r="F5" s="18" t="s">
        <v>33</v>
      </c>
      <c r="G5" s="17" t="s">
        <v>66</v>
      </c>
      <c r="H5" s="19">
        <v>70</v>
      </c>
      <c r="I5" s="19"/>
      <c r="J5" s="20"/>
      <c r="L5" s="164" t="s">
        <v>67</v>
      </c>
      <c r="M5" s="370">
        <v>150</v>
      </c>
      <c r="N5" s="371">
        <v>170</v>
      </c>
      <c r="O5" s="371">
        <v>340</v>
      </c>
      <c r="P5" s="371">
        <v>426</v>
      </c>
      <c r="Q5" s="372">
        <v>1086</v>
      </c>
    </row>
    <row r="6" spans="1:17" x14ac:dyDescent="0.25">
      <c r="A6" s="15" t="s">
        <v>54</v>
      </c>
      <c r="B6" s="16" t="s">
        <v>35</v>
      </c>
      <c r="C6" s="16" t="s">
        <v>68</v>
      </c>
      <c r="D6" s="15" t="s">
        <v>6</v>
      </c>
      <c r="E6" s="17">
        <v>74</v>
      </c>
      <c r="F6" s="18" t="s">
        <v>27</v>
      </c>
      <c r="G6" s="17" t="s">
        <v>69</v>
      </c>
      <c r="H6" s="19">
        <v>70</v>
      </c>
      <c r="I6" s="19"/>
      <c r="J6" s="20"/>
      <c r="L6" s="165" t="s">
        <v>379</v>
      </c>
      <c r="M6" s="373">
        <v>150</v>
      </c>
      <c r="N6" s="374">
        <v>170</v>
      </c>
      <c r="O6" s="374">
        <v>340</v>
      </c>
      <c r="P6" s="374">
        <v>426</v>
      </c>
      <c r="Q6" s="375">
        <v>1086</v>
      </c>
    </row>
    <row r="7" spans="1:17" x14ac:dyDescent="0.25">
      <c r="A7" s="15" t="s">
        <v>54</v>
      </c>
      <c r="B7" s="16" t="s">
        <v>35</v>
      </c>
      <c r="C7" s="16" t="s">
        <v>57</v>
      </c>
      <c r="D7" s="15" t="s">
        <v>6</v>
      </c>
      <c r="E7" s="17">
        <v>98</v>
      </c>
      <c r="F7" s="18" t="s">
        <v>27</v>
      </c>
      <c r="G7" s="17" t="s">
        <v>70</v>
      </c>
      <c r="H7" s="19">
        <v>70</v>
      </c>
      <c r="I7" s="19"/>
      <c r="J7" s="20"/>
    </row>
    <row r="8" spans="1:17" x14ac:dyDescent="0.25">
      <c r="A8" s="15" t="s">
        <v>54</v>
      </c>
      <c r="B8" s="16" t="s">
        <v>35</v>
      </c>
      <c r="C8" s="16" t="s">
        <v>57</v>
      </c>
      <c r="D8" s="15" t="s">
        <v>6</v>
      </c>
      <c r="E8" s="17">
        <v>121</v>
      </c>
      <c r="F8" s="18" t="s">
        <v>27</v>
      </c>
      <c r="G8" s="17" t="s">
        <v>71</v>
      </c>
      <c r="H8" s="19">
        <v>70</v>
      </c>
      <c r="I8" s="19"/>
      <c r="J8" s="20"/>
    </row>
    <row r="9" spans="1:17" x14ac:dyDescent="0.25">
      <c r="A9" s="15" t="s">
        <v>54</v>
      </c>
      <c r="B9" s="16" t="s">
        <v>35</v>
      </c>
      <c r="C9" s="16" t="s">
        <v>68</v>
      </c>
      <c r="D9" s="15" t="s">
        <v>7</v>
      </c>
      <c r="E9" s="17">
        <v>132</v>
      </c>
      <c r="F9" s="18" t="s">
        <v>33</v>
      </c>
      <c r="G9" s="17" t="s">
        <v>72</v>
      </c>
      <c r="H9" s="19">
        <v>70</v>
      </c>
      <c r="I9" s="19"/>
      <c r="J9" s="20"/>
    </row>
    <row r="10" spans="1:17" x14ac:dyDescent="0.25">
      <c r="A10" s="15" t="s">
        <v>54</v>
      </c>
      <c r="B10" s="16" t="s">
        <v>35</v>
      </c>
      <c r="C10" s="16" t="s">
        <v>57</v>
      </c>
      <c r="D10" s="15" t="s">
        <v>7</v>
      </c>
      <c r="E10" s="17">
        <v>132</v>
      </c>
      <c r="F10" s="18" t="s">
        <v>33</v>
      </c>
      <c r="G10" s="17" t="s">
        <v>73</v>
      </c>
      <c r="H10" s="19">
        <v>70</v>
      </c>
      <c r="I10" s="19"/>
      <c r="J10" s="20"/>
    </row>
    <row r="11" spans="1:17" x14ac:dyDescent="0.25">
      <c r="A11" s="15" t="s">
        <v>54</v>
      </c>
      <c r="B11" s="16" t="s">
        <v>35</v>
      </c>
      <c r="C11" s="16" t="s">
        <v>68</v>
      </c>
      <c r="D11" s="15" t="s">
        <v>7</v>
      </c>
      <c r="E11" s="17">
        <v>128</v>
      </c>
      <c r="F11" s="18" t="s">
        <v>33</v>
      </c>
      <c r="G11" s="17" t="s">
        <v>74</v>
      </c>
      <c r="H11" s="19">
        <v>70</v>
      </c>
      <c r="I11" s="19"/>
      <c r="J11" s="20"/>
    </row>
    <row r="12" spans="1:17" x14ac:dyDescent="0.25">
      <c r="A12" s="15" t="s">
        <v>54</v>
      </c>
      <c r="B12" s="16" t="s">
        <v>35</v>
      </c>
      <c r="C12" s="16" t="s">
        <v>57</v>
      </c>
      <c r="D12" s="15" t="s">
        <v>8</v>
      </c>
      <c r="E12" s="17">
        <v>167</v>
      </c>
      <c r="F12" s="18" t="s">
        <v>33</v>
      </c>
      <c r="G12" s="17" t="s">
        <v>75</v>
      </c>
      <c r="H12" s="19">
        <v>168</v>
      </c>
      <c r="I12" s="19"/>
      <c r="J12" s="20"/>
    </row>
    <row r="13" spans="1:17" x14ac:dyDescent="0.25">
      <c r="A13" s="15" t="s">
        <v>54</v>
      </c>
      <c r="B13" s="16" t="s">
        <v>35</v>
      </c>
      <c r="C13" s="16" t="s">
        <v>60</v>
      </c>
      <c r="D13" s="15" t="s">
        <v>12</v>
      </c>
      <c r="E13" s="17">
        <v>127</v>
      </c>
      <c r="F13" s="18" t="s">
        <v>26</v>
      </c>
      <c r="G13" s="17" t="s">
        <v>76</v>
      </c>
      <c r="H13" s="19">
        <v>130</v>
      </c>
      <c r="I13" s="19">
        <f>SUM(H2:H13)</f>
        <v>998</v>
      </c>
      <c r="J13" s="20"/>
    </row>
    <row r="14" spans="1:17" x14ac:dyDescent="0.25">
      <c r="A14" s="15" t="s">
        <v>54</v>
      </c>
      <c r="B14" s="16" t="s">
        <v>35</v>
      </c>
      <c r="C14" s="16" t="s">
        <v>77</v>
      </c>
      <c r="D14" s="15" t="s">
        <v>78</v>
      </c>
      <c r="E14" s="17" t="s">
        <v>79</v>
      </c>
      <c r="F14" s="18" t="s">
        <v>80</v>
      </c>
      <c r="G14" s="17" t="s">
        <v>81</v>
      </c>
      <c r="H14" s="22">
        <v>340</v>
      </c>
      <c r="I14" s="22"/>
      <c r="J14" s="20"/>
    </row>
    <row r="15" spans="1:17" x14ac:dyDescent="0.25">
      <c r="A15" s="15" t="s">
        <v>54</v>
      </c>
      <c r="B15" s="16" t="s">
        <v>35</v>
      </c>
      <c r="C15" s="16" t="s">
        <v>82</v>
      </c>
      <c r="D15" s="15" t="s">
        <v>83</v>
      </c>
      <c r="E15" s="17" t="s">
        <v>84</v>
      </c>
      <c r="F15" s="18" t="s">
        <v>80</v>
      </c>
      <c r="G15" s="17" t="s">
        <v>85</v>
      </c>
      <c r="H15" s="22">
        <v>425</v>
      </c>
      <c r="I15" s="22"/>
      <c r="J15" s="20"/>
    </row>
    <row r="16" spans="1:17" x14ac:dyDescent="0.25">
      <c r="A16" s="15" t="s">
        <v>54</v>
      </c>
      <c r="B16" s="16" t="s">
        <v>35</v>
      </c>
      <c r="C16" s="16" t="s">
        <v>77</v>
      </c>
      <c r="D16" s="15" t="s">
        <v>86</v>
      </c>
      <c r="E16" s="17" t="s">
        <v>79</v>
      </c>
      <c r="F16" s="18" t="s">
        <v>80</v>
      </c>
      <c r="G16" s="17" t="s">
        <v>87</v>
      </c>
      <c r="H16" s="22">
        <v>460</v>
      </c>
      <c r="I16" s="22"/>
      <c r="J16" s="20"/>
    </row>
    <row r="17" spans="1:10" x14ac:dyDescent="0.25">
      <c r="A17" s="15" t="s">
        <v>54</v>
      </c>
      <c r="B17" s="16" t="s">
        <v>35</v>
      </c>
      <c r="C17" s="16" t="s">
        <v>82</v>
      </c>
      <c r="D17" s="15" t="s">
        <v>88</v>
      </c>
      <c r="E17" s="17" t="s">
        <v>79</v>
      </c>
      <c r="F17" s="18" t="s">
        <v>80</v>
      </c>
      <c r="G17" s="17" t="s">
        <v>89</v>
      </c>
      <c r="H17" s="22">
        <v>425</v>
      </c>
      <c r="I17" s="22">
        <f>SUM(H2:H17)</f>
        <v>2648</v>
      </c>
      <c r="J17" s="20"/>
    </row>
    <row r="18" spans="1:10" x14ac:dyDescent="0.25">
      <c r="A18" s="15" t="s">
        <v>90</v>
      </c>
      <c r="B18" s="16" t="s">
        <v>91</v>
      </c>
      <c r="C18" s="16" t="s">
        <v>92</v>
      </c>
      <c r="D18" s="15" t="s">
        <v>5</v>
      </c>
      <c r="E18" s="17">
        <v>44</v>
      </c>
      <c r="F18" s="18" t="s">
        <v>34</v>
      </c>
      <c r="G18" s="17" t="s">
        <v>93</v>
      </c>
      <c r="H18" s="22">
        <v>70</v>
      </c>
      <c r="I18" s="22"/>
      <c r="J18" s="20"/>
    </row>
    <row r="19" spans="1:10" x14ac:dyDescent="0.25">
      <c r="A19" s="15" t="s">
        <v>90</v>
      </c>
      <c r="B19" s="16" t="s">
        <v>91</v>
      </c>
      <c r="C19" s="16" t="s">
        <v>92</v>
      </c>
      <c r="D19" s="15" t="s">
        <v>9</v>
      </c>
      <c r="E19" s="17">
        <v>37</v>
      </c>
      <c r="F19" s="18" t="s">
        <v>33</v>
      </c>
      <c r="G19" s="17" t="s">
        <v>94</v>
      </c>
      <c r="H19" s="22">
        <v>80</v>
      </c>
      <c r="I19" s="22"/>
      <c r="J19" s="20"/>
    </row>
    <row r="20" spans="1:10" x14ac:dyDescent="0.25">
      <c r="A20" s="15" t="s">
        <v>90</v>
      </c>
      <c r="B20" s="16" t="s">
        <v>91</v>
      </c>
      <c r="C20" s="16" t="s">
        <v>95</v>
      </c>
      <c r="D20" s="15" t="s">
        <v>5</v>
      </c>
      <c r="E20" s="17">
        <v>44</v>
      </c>
      <c r="F20" s="18" t="s">
        <v>34</v>
      </c>
      <c r="G20" s="17" t="s">
        <v>96</v>
      </c>
      <c r="H20" s="22">
        <v>70</v>
      </c>
      <c r="I20" s="22"/>
      <c r="J20" s="20"/>
    </row>
    <row r="21" spans="1:10" ht="15.75" customHeight="1" x14ac:dyDescent="0.25">
      <c r="A21" s="15" t="s">
        <v>90</v>
      </c>
      <c r="B21" s="16" t="s">
        <v>91</v>
      </c>
      <c r="C21" s="16" t="s">
        <v>97</v>
      </c>
      <c r="D21" s="15" t="s">
        <v>8</v>
      </c>
      <c r="E21" s="17">
        <v>257</v>
      </c>
      <c r="F21" s="18" t="s">
        <v>33</v>
      </c>
      <c r="G21" s="17" t="s">
        <v>98</v>
      </c>
      <c r="H21" s="22">
        <v>91</v>
      </c>
      <c r="I21" s="22"/>
      <c r="J21" s="20"/>
    </row>
    <row r="22" spans="1:10" ht="15.75" customHeight="1" x14ac:dyDescent="0.25">
      <c r="A22" s="15" t="s">
        <v>90</v>
      </c>
      <c r="B22" s="16" t="s">
        <v>91</v>
      </c>
      <c r="C22" s="16" t="s">
        <v>97</v>
      </c>
      <c r="D22" s="15" t="s">
        <v>5</v>
      </c>
      <c r="E22" s="17">
        <v>270</v>
      </c>
      <c r="F22" s="18" t="s">
        <v>27</v>
      </c>
      <c r="G22" s="17" t="s">
        <v>99</v>
      </c>
      <c r="H22" s="22">
        <v>70</v>
      </c>
      <c r="I22" s="22"/>
      <c r="J22" s="20"/>
    </row>
    <row r="23" spans="1:10" ht="15.75" customHeight="1" x14ac:dyDescent="0.25">
      <c r="A23" s="15" t="s">
        <v>90</v>
      </c>
      <c r="B23" s="16" t="s">
        <v>91</v>
      </c>
      <c r="C23" s="16" t="s">
        <v>97</v>
      </c>
      <c r="D23" s="15" t="s">
        <v>88</v>
      </c>
      <c r="E23" s="17" t="s">
        <v>10</v>
      </c>
      <c r="F23" s="18" t="s">
        <v>26</v>
      </c>
      <c r="G23" s="17" t="s">
        <v>100</v>
      </c>
      <c r="H23" s="22">
        <v>85</v>
      </c>
      <c r="I23" s="22"/>
      <c r="J23" s="20"/>
    </row>
    <row r="24" spans="1:10" ht="15.75" customHeight="1" x14ac:dyDescent="0.25">
      <c r="A24" s="15" t="s">
        <v>90</v>
      </c>
      <c r="B24" s="16" t="s">
        <v>91</v>
      </c>
      <c r="C24" s="16" t="s">
        <v>97</v>
      </c>
      <c r="D24" s="15" t="s">
        <v>9</v>
      </c>
      <c r="E24" s="17" t="s">
        <v>10</v>
      </c>
      <c r="F24" s="18" t="s">
        <v>26</v>
      </c>
      <c r="G24" s="17" t="s">
        <v>101</v>
      </c>
      <c r="H24" s="22">
        <v>85</v>
      </c>
      <c r="I24" s="22"/>
      <c r="J24" s="20"/>
    </row>
    <row r="25" spans="1:10" ht="15.75" customHeight="1" x14ac:dyDescent="0.25">
      <c r="A25" s="15" t="s">
        <v>90</v>
      </c>
      <c r="B25" s="16" t="s">
        <v>91</v>
      </c>
      <c r="C25" s="16" t="s">
        <v>97</v>
      </c>
      <c r="D25" s="15" t="s">
        <v>6</v>
      </c>
      <c r="E25" s="17">
        <v>153</v>
      </c>
      <c r="F25" s="18" t="s">
        <v>33</v>
      </c>
      <c r="G25" s="17" t="s">
        <v>102</v>
      </c>
      <c r="H25" s="22">
        <v>70</v>
      </c>
      <c r="I25" s="22"/>
      <c r="J25" s="20"/>
    </row>
    <row r="26" spans="1:10" ht="15.75" customHeight="1" x14ac:dyDescent="0.25">
      <c r="A26" s="15" t="s">
        <v>90</v>
      </c>
      <c r="B26" s="16" t="s">
        <v>91</v>
      </c>
      <c r="C26" s="16" t="s">
        <v>103</v>
      </c>
      <c r="D26" s="15" t="s">
        <v>5</v>
      </c>
      <c r="E26" s="17" t="s">
        <v>36</v>
      </c>
      <c r="F26" s="18" t="s">
        <v>33</v>
      </c>
      <c r="G26" s="17" t="s">
        <v>104</v>
      </c>
      <c r="H26" s="22">
        <v>70</v>
      </c>
      <c r="I26" s="22"/>
      <c r="J26" s="20"/>
    </row>
    <row r="27" spans="1:10" ht="15.75" customHeight="1" x14ac:dyDescent="0.25">
      <c r="A27" s="15" t="s">
        <v>90</v>
      </c>
      <c r="B27" s="16" t="s">
        <v>91</v>
      </c>
      <c r="C27" s="16" t="s">
        <v>103</v>
      </c>
      <c r="D27" s="15" t="s">
        <v>6</v>
      </c>
      <c r="E27" s="17">
        <v>153</v>
      </c>
      <c r="F27" s="18" t="s">
        <v>33</v>
      </c>
      <c r="G27" s="17" t="s">
        <v>105</v>
      </c>
      <c r="H27" s="22">
        <v>70</v>
      </c>
      <c r="I27" s="22"/>
      <c r="J27" s="20"/>
    </row>
    <row r="28" spans="1:10" ht="15.75" customHeight="1" x14ac:dyDescent="0.25">
      <c r="A28" s="15" t="s">
        <v>90</v>
      </c>
      <c r="B28" s="16" t="s">
        <v>91</v>
      </c>
      <c r="C28" s="16" t="s">
        <v>103</v>
      </c>
      <c r="D28" s="15" t="s">
        <v>11</v>
      </c>
      <c r="E28" s="17" t="s">
        <v>37</v>
      </c>
      <c r="F28" s="18" t="s">
        <v>26</v>
      </c>
      <c r="G28" s="17" t="s">
        <v>106</v>
      </c>
      <c r="H28" s="22">
        <v>85</v>
      </c>
      <c r="I28" s="22"/>
      <c r="J28" s="20"/>
    </row>
    <row r="29" spans="1:10" ht="15.75" customHeight="1" x14ac:dyDescent="0.25">
      <c r="A29" s="15" t="s">
        <v>90</v>
      </c>
      <c r="B29" s="16" t="s">
        <v>91</v>
      </c>
      <c r="C29" s="16" t="s">
        <v>107</v>
      </c>
      <c r="D29" s="15" t="s">
        <v>6</v>
      </c>
      <c r="E29" s="23" t="s">
        <v>38</v>
      </c>
      <c r="F29" s="18" t="s">
        <v>27</v>
      </c>
      <c r="G29" s="17" t="s">
        <v>108</v>
      </c>
      <c r="H29" s="22">
        <v>70</v>
      </c>
      <c r="I29" s="22"/>
      <c r="J29" s="20"/>
    </row>
    <row r="30" spans="1:10" ht="15.75" customHeight="1" x14ac:dyDescent="0.25">
      <c r="A30" s="15" t="s">
        <v>90</v>
      </c>
      <c r="B30" s="16" t="s">
        <v>91</v>
      </c>
      <c r="C30" s="16" t="s">
        <v>107</v>
      </c>
      <c r="D30" s="15" t="s">
        <v>5</v>
      </c>
      <c r="E30" s="17">
        <v>310</v>
      </c>
      <c r="F30" s="18" t="s">
        <v>33</v>
      </c>
      <c r="G30" s="17" t="s">
        <v>109</v>
      </c>
      <c r="H30" s="22">
        <v>70</v>
      </c>
      <c r="I30" s="22"/>
      <c r="J30" s="20"/>
    </row>
    <row r="31" spans="1:10" ht="15.75" customHeight="1" x14ac:dyDescent="0.25">
      <c r="A31" s="15" t="s">
        <v>90</v>
      </c>
      <c r="B31" s="16" t="s">
        <v>91</v>
      </c>
      <c r="C31" s="16" t="s">
        <v>107</v>
      </c>
      <c r="D31" s="15" t="s">
        <v>9</v>
      </c>
      <c r="E31" s="17" t="s">
        <v>37</v>
      </c>
      <c r="F31" s="18" t="s">
        <v>26</v>
      </c>
      <c r="G31" s="17" t="s">
        <v>110</v>
      </c>
      <c r="H31" s="22">
        <v>90</v>
      </c>
      <c r="I31" s="22"/>
      <c r="J31" s="20"/>
    </row>
    <row r="32" spans="1:10" ht="15.75" customHeight="1" x14ac:dyDescent="0.25">
      <c r="A32" s="15" t="s">
        <v>90</v>
      </c>
      <c r="B32" s="16" t="s">
        <v>91</v>
      </c>
      <c r="C32" s="16" t="s">
        <v>107</v>
      </c>
      <c r="D32" s="15" t="s">
        <v>11</v>
      </c>
      <c r="E32" s="17" t="s">
        <v>37</v>
      </c>
      <c r="F32" s="18" t="s">
        <v>26</v>
      </c>
      <c r="G32" s="17" t="s">
        <v>111</v>
      </c>
      <c r="H32" s="22">
        <v>116.8</v>
      </c>
      <c r="I32" s="22"/>
      <c r="J32" s="20"/>
    </row>
    <row r="33" spans="1:10" ht="15.75" customHeight="1" x14ac:dyDescent="0.25">
      <c r="A33" s="15" t="s">
        <v>90</v>
      </c>
      <c r="B33" s="16" t="s">
        <v>91</v>
      </c>
      <c r="C33" s="16" t="s">
        <v>107</v>
      </c>
      <c r="D33" s="15" t="s">
        <v>6</v>
      </c>
      <c r="E33" s="17">
        <v>351</v>
      </c>
      <c r="F33" s="18" t="s">
        <v>27</v>
      </c>
      <c r="G33" s="17" t="s">
        <v>112</v>
      </c>
      <c r="H33" s="22">
        <v>70</v>
      </c>
      <c r="I33" s="22"/>
      <c r="J33" s="20"/>
    </row>
    <row r="34" spans="1:10" ht="15.75" customHeight="1" x14ac:dyDescent="0.25">
      <c r="A34" s="15" t="s">
        <v>90</v>
      </c>
      <c r="B34" s="16" t="s">
        <v>91</v>
      </c>
      <c r="C34" s="16" t="s">
        <v>107</v>
      </c>
      <c r="D34" s="15" t="s">
        <v>12</v>
      </c>
      <c r="E34" s="17">
        <v>370</v>
      </c>
      <c r="F34" s="18" t="s">
        <v>26</v>
      </c>
      <c r="G34" s="17" t="s">
        <v>113</v>
      </c>
      <c r="H34" s="22">
        <v>130</v>
      </c>
      <c r="I34" s="22"/>
      <c r="J34" s="20"/>
    </row>
    <row r="35" spans="1:10" ht="15.75" customHeight="1" x14ac:dyDescent="0.25">
      <c r="A35" s="15" t="s">
        <v>90</v>
      </c>
      <c r="B35" s="16" t="s">
        <v>91</v>
      </c>
      <c r="C35" s="16" t="s">
        <v>114</v>
      </c>
      <c r="D35" s="15" t="s">
        <v>11</v>
      </c>
      <c r="E35" s="17" t="s">
        <v>37</v>
      </c>
      <c r="F35" s="18" t="s">
        <v>26</v>
      </c>
      <c r="G35" s="17" t="s">
        <v>115</v>
      </c>
      <c r="H35" s="22">
        <v>116.8</v>
      </c>
      <c r="I35" s="22"/>
      <c r="J35" s="20"/>
    </row>
    <row r="36" spans="1:10" ht="15.75" customHeight="1" x14ac:dyDescent="0.25">
      <c r="A36" s="15" t="s">
        <v>90</v>
      </c>
      <c r="B36" s="16" t="s">
        <v>91</v>
      </c>
      <c r="C36" s="16" t="s">
        <v>114</v>
      </c>
      <c r="D36" s="15" t="s">
        <v>88</v>
      </c>
      <c r="E36" s="17" t="s">
        <v>37</v>
      </c>
      <c r="F36" s="18" t="s">
        <v>26</v>
      </c>
      <c r="G36" s="17" t="s">
        <v>116</v>
      </c>
      <c r="H36" s="22">
        <v>80</v>
      </c>
      <c r="I36" s="22"/>
      <c r="J36" s="20"/>
    </row>
    <row r="37" spans="1:10" ht="15.75" customHeight="1" x14ac:dyDescent="0.25">
      <c r="A37" s="15" t="s">
        <v>90</v>
      </c>
      <c r="B37" s="16" t="s">
        <v>91</v>
      </c>
      <c r="C37" s="16" t="s">
        <v>114</v>
      </c>
      <c r="D37" s="15" t="s">
        <v>9</v>
      </c>
      <c r="E37" s="17" t="s">
        <v>37</v>
      </c>
      <c r="F37" s="18" t="s">
        <v>26</v>
      </c>
      <c r="G37" s="17" t="s">
        <v>117</v>
      </c>
      <c r="H37" s="22">
        <v>70</v>
      </c>
      <c r="I37" s="22"/>
      <c r="J37" s="20"/>
    </row>
    <row r="38" spans="1:10" ht="15.75" customHeight="1" x14ac:dyDescent="0.25">
      <c r="A38" s="15" t="s">
        <v>90</v>
      </c>
      <c r="B38" s="16" t="s">
        <v>91</v>
      </c>
      <c r="C38" s="16" t="s">
        <v>118</v>
      </c>
      <c r="D38" s="15" t="s">
        <v>78</v>
      </c>
      <c r="E38" s="24" t="s">
        <v>79</v>
      </c>
      <c r="F38" s="18" t="s">
        <v>80</v>
      </c>
      <c r="G38" s="17" t="s">
        <v>119</v>
      </c>
      <c r="H38" s="19">
        <v>425</v>
      </c>
      <c r="I38" s="19"/>
      <c r="J38" s="20"/>
    </row>
    <row r="39" spans="1:10" ht="15.75" customHeight="1" x14ac:dyDescent="0.25">
      <c r="A39" s="15" t="s">
        <v>90</v>
      </c>
      <c r="B39" s="16" t="s">
        <v>91</v>
      </c>
      <c r="C39" s="16" t="s">
        <v>118</v>
      </c>
      <c r="D39" s="15" t="s">
        <v>83</v>
      </c>
      <c r="E39" s="17" t="s">
        <v>79</v>
      </c>
      <c r="F39" s="18" t="s">
        <v>80</v>
      </c>
      <c r="G39" s="17" t="s">
        <v>120</v>
      </c>
      <c r="H39" s="22">
        <v>425</v>
      </c>
      <c r="I39" s="22"/>
      <c r="J39" s="20"/>
    </row>
    <row r="40" spans="1:10" ht="15.75" customHeight="1" x14ac:dyDescent="0.25">
      <c r="A40" s="15" t="s">
        <v>90</v>
      </c>
      <c r="B40" s="16" t="s">
        <v>91</v>
      </c>
      <c r="C40" s="16" t="s">
        <v>118</v>
      </c>
      <c r="D40" s="15" t="s">
        <v>86</v>
      </c>
      <c r="E40" s="17" t="s">
        <v>79</v>
      </c>
      <c r="F40" s="18" t="s">
        <v>80</v>
      </c>
      <c r="G40" s="17" t="s">
        <v>121</v>
      </c>
      <c r="H40" s="22">
        <v>575</v>
      </c>
      <c r="I40" s="22"/>
      <c r="J40" s="20"/>
    </row>
    <row r="41" spans="1:10" ht="15.75" customHeight="1" x14ac:dyDescent="0.25">
      <c r="A41" s="15" t="s">
        <v>90</v>
      </c>
      <c r="B41" s="16" t="s">
        <v>91</v>
      </c>
      <c r="C41" s="16" t="s">
        <v>122</v>
      </c>
      <c r="D41" s="15" t="s">
        <v>88</v>
      </c>
      <c r="E41" s="17" t="s">
        <v>79</v>
      </c>
      <c r="F41" s="18" t="s">
        <v>80</v>
      </c>
      <c r="G41" s="17" t="s">
        <v>123</v>
      </c>
      <c r="H41" s="22">
        <v>255</v>
      </c>
      <c r="I41" s="22"/>
      <c r="J41" s="20"/>
    </row>
    <row r="42" spans="1:10" ht="15.75" customHeight="1" x14ac:dyDescent="0.25">
      <c r="A42" s="15" t="s">
        <v>90</v>
      </c>
      <c r="B42" s="23" t="s">
        <v>91</v>
      </c>
      <c r="C42" s="23" t="s">
        <v>124</v>
      </c>
      <c r="D42" s="15" t="s">
        <v>125</v>
      </c>
      <c r="E42" s="17" t="s">
        <v>126</v>
      </c>
      <c r="F42" s="18" t="s">
        <v>127</v>
      </c>
      <c r="G42" s="18" t="s">
        <v>128</v>
      </c>
      <c r="H42" s="19">
        <v>690</v>
      </c>
      <c r="I42" s="19"/>
      <c r="J42" s="20"/>
    </row>
    <row r="43" spans="1:10" ht="15.75" customHeight="1" x14ac:dyDescent="0.25">
      <c r="A43" s="15" t="s">
        <v>90</v>
      </c>
      <c r="B43" s="23" t="s">
        <v>91</v>
      </c>
      <c r="C43" s="23" t="s">
        <v>124</v>
      </c>
      <c r="D43" s="15" t="s">
        <v>129</v>
      </c>
      <c r="E43" s="17" t="s">
        <v>126</v>
      </c>
      <c r="F43" s="18" t="s">
        <v>127</v>
      </c>
      <c r="G43" s="18" t="s">
        <v>130</v>
      </c>
      <c r="H43" s="19">
        <v>425</v>
      </c>
      <c r="I43" s="19"/>
      <c r="J43" s="20"/>
    </row>
    <row r="44" spans="1:10" ht="15.75" customHeight="1" x14ac:dyDescent="0.25">
      <c r="A44" s="15" t="s">
        <v>90</v>
      </c>
      <c r="B44" s="23" t="s">
        <v>91</v>
      </c>
      <c r="C44" s="23" t="s">
        <v>131</v>
      </c>
      <c r="D44" s="15" t="s">
        <v>129</v>
      </c>
      <c r="E44" s="17" t="s">
        <v>132</v>
      </c>
      <c r="F44" s="18" t="s">
        <v>127</v>
      </c>
      <c r="G44" s="18" t="s">
        <v>133</v>
      </c>
      <c r="H44" s="19">
        <v>140</v>
      </c>
      <c r="I44" s="19"/>
      <c r="J44" s="20"/>
    </row>
    <row r="45" spans="1:10" ht="15.75" customHeight="1" x14ac:dyDescent="0.25">
      <c r="A45" s="15" t="s">
        <v>90</v>
      </c>
      <c r="B45" s="23" t="s">
        <v>91</v>
      </c>
      <c r="C45" s="23" t="s">
        <v>124</v>
      </c>
      <c r="D45" s="15" t="s">
        <v>134</v>
      </c>
      <c r="E45" s="17" t="s">
        <v>126</v>
      </c>
      <c r="F45" s="18" t="s">
        <v>127</v>
      </c>
      <c r="G45" s="18" t="s">
        <v>133</v>
      </c>
      <c r="H45" s="19">
        <v>510</v>
      </c>
      <c r="I45" s="19"/>
      <c r="J45" s="20"/>
    </row>
    <row r="46" spans="1:10" ht="15.75" customHeight="1" x14ac:dyDescent="0.25">
      <c r="A46" s="15" t="s">
        <v>90</v>
      </c>
      <c r="B46" s="23" t="s">
        <v>91</v>
      </c>
      <c r="C46" s="23" t="s">
        <v>103</v>
      </c>
      <c r="D46" s="15" t="s">
        <v>9</v>
      </c>
      <c r="E46" s="17" t="s">
        <v>126</v>
      </c>
      <c r="F46" s="18" t="s">
        <v>127</v>
      </c>
      <c r="G46" s="18" t="s">
        <v>135</v>
      </c>
      <c r="H46" s="19">
        <v>85</v>
      </c>
      <c r="I46" s="19"/>
      <c r="J46" s="20"/>
    </row>
    <row r="47" spans="1:10" ht="15.75" customHeight="1" x14ac:dyDescent="0.25">
      <c r="A47" s="15" t="s">
        <v>90</v>
      </c>
      <c r="B47" s="23" t="s">
        <v>91</v>
      </c>
      <c r="C47" s="23" t="s">
        <v>136</v>
      </c>
      <c r="D47" s="15" t="s">
        <v>11</v>
      </c>
      <c r="E47" s="17" t="s">
        <v>126</v>
      </c>
      <c r="F47" s="18" t="s">
        <v>127</v>
      </c>
      <c r="G47" s="18" t="s">
        <v>137</v>
      </c>
      <c r="H47" s="19">
        <v>170</v>
      </c>
      <c r="I47" s="19"/>
      <c r="J47" s="20"/>
    </row>
    <row r="48" spans="1:10" ht="15.75" customHeight="1" x14ac:dyDescent="0.25">
      <c r="A48" s="15" t="s">
        <v>138</v>
      </c>
      <c r="B48" s="16" t="s">
        <v>139</v>
      </c>
      <c r="C48" s="16" t="s">
        <v>140</v>
      </c>
      <c r="D48" s="15" t="s">
        <v>6</v>
      </c>
      <c r="E48" s="17">
        <v>97</v>
      </c>
      <c r="F48" s="18" t="s">
        <v>27</v>
      </c>
      <c r="G48" s="17" t="s">
        <v>141</v>
      </c>
      <c r="H48" s="22">
        <v>70</v>
      </c>
      <c r="I48" s="22"/>
      <c r="J48" s="20"/>
    </row>
    <row r="49" spans="1:17" ht="15.75" customHeight="1" x14ac:dyDescent="0.25">
      <c r="A49" s="15" t="s">
        <v>138</v>
      </c>
      <c r="B49" s="16" t="s">
        <v>139</v>
      </c>
      <c r="C49" s="16" t="s">
        <v>140</v>
      </c>
      <c r="D49" s="15" t="s">
        <v>12</v>
      </c>
      <c r="E49" s="17">
        <v>370</v>
      </c>
      <c r="F49" s="18" t="s">
        <v>26</v>
      </c>
      <c r="G49" s="17" t="s">
        <v>142</v>
      </c>
      <c r="H49" s="22">
        <v>130</v>
      </c>
      <c r="I49" s="22"/>
      <c r="J49" s="20"/>
    </row>
    <row r="50" spans="1:17" ht="15.75" customHeight="1" x14ac:dyDescent="0.25">
      <c r="A50" s="15" t="s">
        <v>138</v>
      </c>
      <c r="B50" s="16" t="s">
        <v>139</v>
      </c>
      <c r="C50" s="16" t="s">
        <v>143</v>
      </c>
      <c r="D50" s="15" t="s">
        <v>6</v>
      </c>
      <c r="E50" s="17">
        <v>409</v>
      </c>
      <c r="F50" s="18" t="s">
        <v>33</v>
      </c>
      <c r="G50" s="17" t="s">
        <v>144</v>
      </c>
      <c r="H50" s="22">
        <v>70</v>
      </c>
      <c r="I50" s="22"/>
      <c r="J50" s="20"/>
      <c r="M50" s="14"/>
      <c r="N50" s="14"/>
      <c r="O50" s="14"/>
      <c r="P50" s="14"/>
      <c r="Q50" s="14"/>
    </row>
    <row r="51" spans="1:17" ht="15.75" customHeight="1" x14ac:dyDescent="0.25">
      <c r="A51" s="15" t="s">
        <v>138</v>
      </c>
      <c r="B51" s="16" t="s">
        <v>139</v>
      </c>
      <c r="C51" s="16" t="s">
        <v>143</v>
      </c>
      <c r="D51" s="15" t="s">
        <v>5</v>
      </c>
      <c r="E51" s="17">
        <v>265</v>
      </c>
      <c r="F51" s="18" t="s">
        <v>33</v>
      </c>
      <c r="G51" s="17" t="s">
        <v>145</v>
      </c>
      <c r="H51" s="22">
        <v>70</v>
      </c>
      <c r="I51" s="22"/>
      <c r="J51" s="20"/>
      <c r="M51" s="14"/>
      <c r="N51" s="14"/>
      <c r="O51" s="14"/>
      <c r="P51" s="14"/>
      <c r="Q51" s="14"/>
    </row>
    <row r="52" spans="1:17" ht="15.75" customHeight="1" x14ac:dyDescent="0.25">
      <c r="A52" s="15" t="s">
        <v>138</v>
      </c>
      <c r="B52" s="16" t="s">
        <v>139</v>
      </c>
      <c r="C52" s="16" t="s">
        <v>146</v>
      </c>
      <c r="D52" s="15" t="s">
        <v>6</v>
      </c>
      <c r="E52" s="17">
        <v>374</v>
      </c>
      <c r="F52" s="18" t="s">
        <v>27</v>
      </c>
      <c r="G52" s="17" t="s">
        <v>147</v>
      </c>
      <c r="H52" s="22">
        <v>70</v>
      </c>
      <c r="I52" s="22"/>
      <c r="J52" s="20"/>
      <c r="M52" s="14"/>
      <c r="N52" s="14"/>
      <c r="O52" s="14"/>
      <c r="P52" s="14"/>
      <c r="Q52" s="14"/>
    </row>
    <row r="53" spans="1:17" ht="15.75" customHeight="1" x14ac:dyDescent="0.25">
      <c r="A53" s="15" t="s">
        <v>138</v>
      </c>
      <c r="B53" s="16" t="s">
        <v>139</v>
      </c>
      <c r="C53" s="16" t="s">
        <v>148</v>
      </c>
      <c r="D53" s="15" t="s">
        <v>8</v>
      </c>
      <c r="E53" s="17">
        <v>488</v>
      </c>
      <c r="F53" s="18" t="s">
        <v>33</v>
      </c>
      <c r="G53" s="17" t="s">
        <v>149</v>
      </c>
      <c r="H53" s="22">
        <v>91</v>
      </c>
      <c r="I53" s="22"/>
      <c r="J53" s="20"/>
      <c r="M53" s="14"/>
      <c r="N53" s="14"/>
      <c r="O53" s="14"/>
      <c r="P53" s="14"/>
      <c r="Q53" s="14"/>
    </row>
    <row r="54" spans="1:17" ht="15.75" customHeight="1" x14ac:dyDescent="0.25">
      <c r="A54" s="15" t="s">
        <v>138</v>
      </c>
      <c r="B54" s="16" t="s">
        <v>139</v>
      </c>
      <c r="C54" s="16" t="s">
        <v>148</v>
      </c>
      <c r="D54" s="15" t="s">
        <v>5</v>
      </c>
      <c r="E54" s="17" t="s">
        <v>150</v>
      </c>
      <c r="F54" s="18" t="s">
        <v>33</v>
      </c>
      <c r="G54" s="17" t="s">
        <v>151</v>
      </c>
      <c r="H54" s="22">
        <v>70</v>
      </c>
      <c r="I54" s="22"/>
      <c r="J54" s="20"/>
      <c r="M54" s="14"/>
      <c r="N54" s="14"/>
      <c r="O54" s="14"/>
      <c r="P54" s="14"/>
      <c r="Q54" s="14"/>
    </row>
    <row r="55" spans="1:17" ht="15.75" customHeight="1" x14ac:dyDescent="0.25">
      <c r="A55" s="15" t="s">
        <v>138</v>
      </c>
      <c r="B55" s="16" t="s">
        <v>139</v>
      </c>
      <c r="C55" s="16" t="s">
        <v>152</v>
      </c>
      <c r="D55" s="15" t="s">
        <v>5</v>
      </c>
      <c r="E55" s="17">
        <v>496</v>
      </c>
      <c r="F55" s="18" t="s">
        <v>33</v>
      </c>
      <c r="G55" s="17" t="s">
        <v>153</v>
      </c>
      <c r="H55" s="22">
        <v>70</v>
      </c>
      <c r="I55" s="22"/>
      <c r="J55" s="20"/>
      <c r="M55" s="14"/>
      <c r="N55" s="14"/>
      <c r="O55" s="14"/>
      <c r="P55" s="14"/>
      <c r="Q55" s="14"/>
    </row>
    <row r="56" spans="1:17" ht="15.75" customHeight="1" x14ac:dyDescent="0.25">
      <c r="A56" s="15" t="s">
        <v>138</v>
      </c>
      <c r="B56" s="16" t="s">
        <v>139</v>
      </c>
      <c r="C56" s="16" t="s">
        <v>152</v>
      </c>
      <c r="D56" s="15" t="s">
        <v>6</v>
      </c>
      <c r="E56" s="17" t="s">
        <v>154</v>
      </c>
      <c r="F56" s="18" t="s">
        <v>33</v>
      </c>
      <c r="G56" s="17" t="s">
        <v>155</v>
      </c>
      <c r="H56" s="22">
        <v>70</v>
      </c>
      <c r="I56" s="22"/>
      <c r="J56" s="20"/>
      <c r="M56" s="14"/>
      <c r="N56" s="14"/>
      <c r="O56" s="14"/>
      <c r="P56" s="14"/>
      <c r="Q56" s="14"/>
    </row>
    <row r="57" spans="1:17" ht="15.75" customHeight="1" x14ac:dyDescent="0.25">
      <c r="A57" s="15" t="s">
        <v>138</v>
      </c>
      <c r="B57" s="16" t="s">
        <v>139</v>
      </c>
      <c r="C57" s="16" t="s">
        <v>156</v>
      </c>
      <c r="D57" s="15" t="s">
        <v>5</v>
      </c>
      <c r="E57" s="17">
        <v>533</v>
      </c>
      <c r="F57" s="18" t="s">
        <v>27</v>
      </c>
      <c r="G57" s="17" t="s">
        <v>157</v>
      </c>
      <c r="H57" s="22">
        <v>70</v>
      </c>
      <c r="I57" s="22"/>
      <c r="J57" s="20"/>
      <c r="M57" s="14"/>
      <c r="N57" s="14"/>
      <c r="O57" s="14"/>
      <c r="P57" s="14"/>
      <c r="Q57" s="14"/>
    </row>
    <row r="58" spans="1:17" ht="15.75" customHeight="1" x14ac:dyDescent="0.25">
      <c r="A58" s="15" t="s">
        <v>138</v>
      </c>
      <c r="B58" s="16" t="s">
        <v>139</v>
      </c>
      <c r="C58" s="16" t="s">
        <v>140</v>
      </c>
      <c r="D58" s="15" t="s">
        <v>11</v>
      </c>
      <c r="E58" s="17">
        <v>295</v>
      </c>
      <c r="F58" s="18" t="s">
        <v>26</v>
      </c>
      <c r="G58" s="17" t="s">
        <v>158</v>
      </c>
      <c r="H58" s="22">
        <v>85</v>
      </c>
      <c r="I58" s="22"/>
      <c r="J58" s="20"/>
      <c r="M58" s="14"/>
      <c r="N58" s="14"/>
      <c r="O58" s="14"/>
      <c r="P58" s="14"/>
      <c r="Q58" s="14"/>
    </row>
    <row r="59" spans="1:17" ht="15.75" customHeight="1" x14ac:dyDescent="0.25">
      <c r="A59" s="15" t="s">
        <v>138</v>
      </c>
      <c r="B59" s="16" t="s">
        <v>139</v>
      </c>
      <c r="C59" s="16" t="s">
        <v>140</v>
      </c>
      <c r="D59" s="15" t="s">
        <v>9</v>
      </c>
      <c r="E59" s="17">
        <v>295</v>
      </c>
      <c r="F59" s="18" t="s">
        <v>26</v>
      </c>
      <c r="G59" s="17" t="s">
        <v>159</v>
      </c>
      <c r="H59" s="22">
        <v>70</v>
      </c>
      <c r="I59" s="22"/>
      <c r="J59" s="20"/>
      <c r="M59" s="14"/>
      <c r="N59" s="14"/>
      <c r="O59" s="14"/>
      <c r="P59" s="14"/>
      <c r="Q59" s="14"/>
    </row>
    <row r="60" spans="1:17" ht="15.75" customHeight="1" x14ac:dyDescent="0.25">
      <c r="A60" s="15" t="s">
        <v>138</v>
      </c>
      <c r="B60" s="16" t="s">
        <v>139</v>
      </c>
      <c r="C60" s="16" t="s">
        <v>140</v>
      </c>
      <c r="D60" s="15" t="s">
        <v>160</v>
      </c>
      <c r="E60" s="17">
        <v>295</v>
      </c>
      <c r="F60" s="18" t="s">
        <v>26</v>
      </c>
      <c r="G60" s="17" t="s">
        <v>161</v>
      </c>
      <c r="H60" s="22">
        <v>75</v>
      </c>
      <c r="I60" s="22"/>
      <c r="J60" s="20"/>
      <c r="M60" s="14"/>
      <c r="N60" s="14"/>
      <c r="O60" s="14"/>
      <c r="P60" s="14"/>
      <c r="Q60" s="14"/>
    </row>
    <row r="61" spans="1:17" ht="15.75" customHeight="1" x14ac:dyDescent="0.25">
      <c r="A61" s="15" t="s">
        <v>138</v>
      </c>
      <c r="B61" s="16" t="s">
        <v>139</v>
      </c>
      <c r="C61" s="16" t="s">
        <v>140</v>
      </c>
      <c r="D61" s="15" t="s">
        <v>88</v>
      </c>
      <c r="E61" s="17">
        <v>295</v>
      </c>
      <c r="F61" s="18" t="s">
        <v>26</v>
      </c>
      <c r="G61" s="17" t="s">
        <v>162</v>
      </c>
      <c r="H61" s="22">
        <v>75</v>
      </c>
      <c r="I61" s="22"/>
      <c r="J61" s="20"/>
      <c r="M61" s="14"/>
      <c r="N61" s="14"/>
      <c r="O61" s="14"/>
      <c r="P61" s="14"/>
      <c r="Q61" s="14"/>
    </row>
    <row r="62" spans="1:17" ht="15.75" customHeight="1" x14ac:dyDescent="0.25">
      <c r="A62" s="15" t="s">
        <v>138</v>
      </c>
      <c r="B62" s="16" t="s">
        <v>139</v>
      </c>
      <c r="C62" s="16" t="s">
        <v>143</v>
      </c>
      <c r="D62" s="15" t="s">
        <v>9</v>
      </c>
      <c r="E62" s="17" t="s">
        <v>13</v>
      </c>
      <c r="F62" s="18" t="s">
        <v>26</v>
      </c>
      <c r="G62" s="17" t="s">
        <v>163</v>
      </c>
      <c r="H62" s="22">
        <v>90</v>
      </c>
      <c r="I62" s="22"/>
      <c r="J62" s="20"/>
      <c r="M62" s="14"/>
      <c r="N62" s="14"/>
      <c r="O62" s="14"/>
      <c r="P62" s="14"/>
      <c r="Q62" s="14"/>
    </row>
    <row r="63" spans="1:17" ht="15.75" customHeight="1" x14ac:dyDescent="0.25">
      <c r="A63" s="15" t="s">
        <v>138</v>
      </c>
      <c r="B63" s="16" t="s">
        <v>139</v>
      </c>
      <c r="C63" s="16" t="s">
        <v>143</v>
      </c>
      <c r="D63" s="15" t="s">
        <v>160</v>
      </c>
      <c r="E63" s="17" t="s">
        <v>13</v>
      </c>
      <c r="F63" s="18" t="s">
        <v>26</v>
      </c>
      <c r="G63" s="17" t="s">
        <v>161</v>
      </c>
      <c r="H63" s="22">
        <v>75</v>
      </c>
      <c r="I63" s="22"/>
      <c r="J63" s="20"/>
      <c r="M63" s="14"/>
      <c r="N63" s="14"/>
      <c r="O63" s="14"/>
      <c r="P63" s="14"/>
      <c r="Q63" s="14"/>
    </row>
    <row r="64" spans="1:17" ht="15.75" customHeight="1" x14ac:dyDescent="0.25">
      <c r="A64" s="15" t="s">
        <v>138</v>
      </c>
      <c r="B64" s="16" t="s">
        <v>139</v>
      </c>
      <c r="C64" s="16" t="s">
        <v>143</v>
      </c>
      <c r="D64" s="15" t="s">
        <v>88</v>
      </c>
      <c r="E64" s="17" t="s">
        <v>13</v>
      </c>
      <c r="F64" s="18" t="s">
        <v>26</v>
      </c>
      <c r="G64" s="17" t="s">
        <v>164</v>
      </c>
      <c r="H64" s="22">
        <v>83</v>
      </c>
      <c r="I64" s="22"/>
      <c r="J64" s="20"/>
      <c r="M64" s="14"/>
      <c r="N64" s="14"/>
      <c r="O64" s="14"/>
      <c r="P64" s="14"/>
      <c r="Q64" s="14"/>
    </row>
    <row r="65" spans="1:17" ht="15.75" customHeight="1" x14ac:dyDescent="0.25">
      <c r="A65" s="15" t="s">
        <v>138</v>
      </c>
      <c r="B65" s="16" t="s">
        <v>139</v>
      </c>
      <c r="C65" s="16" t="s">
        <v>143</v>
      </c>
      <c r="D65" s="15" t="s">
        <v>11</v>
      </c>
      <c r="E65" s="17" t="s">
        <v>13</v>
      </c>
      <c r="F65" s="18" t="s">
        <v>26</v>
      </c>
      <c r="G65" s="17" t="s">
        <v>165</v>
      </c>
      <c r="H65" s="22">
        <v>138</v>
      </c>
      <c r="I65" s="22"/>
      <c r="J65" s="20"/>
      <c r="M65" s="14"/>
      <c r="N65" s="14"/>
      <c r="O65" s="14"/>
      <c r="P65" s="14"/>
      <c r="Q65" s="14"/>
    </row>
    <row r="66" spans="1:17" ht="15.75" customHeight="1" x14ac:dyDescent="0.25">
      <c r="A66" s="15" t="s">
        <v>138</v>
      </c>
      <c r="B66" s="16" t="s">
        <v>139</v>
      </c>
      <c r="C66" s="16" t="s">
        <v>166</v>
      </c>
      <c r="D66" s="15" t="s">
        <v>78</v>
      </c>
      <c r="E66" s="17" t="s">
        <v>79</v>
      </c>
      <c r="F66" s="18" t="s">
        <v>80</v>
      </c>
      <c r="G66" s="17" t="s">
        <v>167</v>
      </c>
      <c r="H66" s="22">
        <v>510</v>
      </c>
      <c r="I66" s="22"/>
      <c r="J66" s="20"/>
      <c r="M66" s="14"/>
      <c r="N66" s="14"/>
      <c r="O66" s="14"/>
      <c r="P66" s="14"/>
      <c r="Q66" s="14"/>
    </row>
    <row r="67" spans="1:17" ht="15.75" customHeight="1" x14ac:dyDescent="0.25">
      <c r="A67" s="15" t="s">
        <v>138</v>
      </c>
      <c r="B67" s="16" t="s">
        <v>139</v>
      </c>
      <c r="C67" s="16" t="s">
        <v>166</v>
      </c>
      <c r="D67" s="15" t="s">
        <v>83</v>
      </c>
      <c r="E67" s="17" t="s">
        <v>79</v>
      </c>
      <c r="F67" s="18" t="s">
        <v>80</v>
      </c>
      <c r="G67" s="17" t="s">
        <v>168</v>
      </c>
      <c r="H67" s="22">
        <v>510</v>
      </c>
      <c r="I67" s="22"/>
      <c r="J67" s="20"/>
      <c r="M67" s="14"/>
      <c r="N67" s="14"/>
      <c r="O67" s="14"/>
      <c r="P67" s="14"/>
      <c r="Q67" s="14"/>
    </row>
    <row r="68" spans="1:17" ht="15.75" customHeight="1" x14ac:dyDescent="0.25">
      <c r="A68" s="15" t="s">
        <v>138</v>
      </c>
      <c r="B68" s="16" t="s">
        <v>139</v>
      </c>
      <c r="C68" s="16" t="s">
        <v>166</v>
      </c>
      <c r="D68" s="15" t="s">
        <v>86</v>
      </c>
      <c r="E68" s="17" t="s">
        <v>79</v>
      </c>
      <c r="F68" s="18" t="s">
        <v>80</v>
      </c>
      <c r="G68" s="17" t="s">
        <v>137</v>
      </c>
      <c r="H68" s="22">
        <v>690</v>
      </c>
      <c r="I68" s="22"/>
      <c r="J68" s="20"/>
      <c r="M68" s="14"/>
      <c r="N68" s="14"/>
      <c r="O68" s="14"/>
      <c r="P68" s="14"/>
      <c r="Q68" s="14"/>
    </row>
    <row r="69" spans="1:17" ht="15.75" customHeight="1" x14ac:dyDescent="0.25">
      <c r="A69" s="15" t="s">
        <v>138</v>
      </c>
      <c r="B69" s="16" t="s">
        <v>139</v>
      </c>
      <c r="C69" s="16" t="s">
        <v>169</v>
      </c>
      <c r="D69" s="15" t="s">
        <v>88</v>
      </c>
      <c r="E69" s="17" t="s">
        <v>79</v>
      </c>
      <c r="F69" s="18" t="s">
        <v>80</v>
      </c>
      <c r="G69" s="17" t="s">
        <v>170</v>
      </c>
      <c r="H69" s="22">
        <v>340</v>
      </c>
      <c r="I69" s="22"/>
      <c r="J69" s="20"/>
      <c r="M69" s="14"/>
      <c r="N69" s="14"/>
      <c r="O69" s="14"/>
      <c r="P69" s="14"/>
      <c r="Q69" s="14"/>
    </row>
    <row r="70" spans="1:17" ht="15.75" customHeight="1" x14ac:dyDescent="0.25">
      <c r="A70" s="15" t="s">
        <v>138</v>
      </c>
      <c r="B70" s="16" t="s">
        <v>139</v>
      </c>
      <c r="C70" s="16" t="s">
        <v>171</v>
      </c>
      <c r="D70" s="15" t="s">
        <v>125</v>
      </c>
      <c r="E70" s="17" t="s">
        <v>126</v>
      </c>
      <c r="F70" s="18" t="s">
        <v>127</v>
      </c>
      <c r="G70" s="17" t="s">
        <v>172</v>
      </c>
      <c r="H70" s="22">
        <v>345</v>
      </c>
      <c r="I70" s="22"/>
      <c r="J70" s="20"/>
      <c r="M70" s="14"/>
      <c r="N70" s="14"/>
      <c r="O70" s="14"/>
      <c r="P70" s="14"/>
      <c r="Q70" s="14"/>
    </row>
    <row r="71" spans="1:17" ht="15.75" customHeight="1" x14ac:dyDescent="0.25">
      <c r="A71" s="15" t="s">
        <v>138</v>
      </c>
      <c r="B71" s="16" t="s">
        <v>139</v>
      </c>
      <c r="C71" s="16" t="s">
        <v>171</v>
      </c>
      <c r="D71" s="15" t="s">
        <v>129</v>
      </c>
      <c r="E71" s="17" t="s">
        <v>126</v>
      </c>
      <c r="F71" s="18" t="s">
        <v>127</v>
      </c>
      <c r="G71" s="17" t="s">
        <v>173</v>
      </c>
      <c r="H71" s="22">
        <v>255</v>
      </c>
      <c r="I71" s="22"/>
      <c r="J71" s="20"/>
      <c r="M71" s="14"/>
      <c r="N71" s="14"/>
      <c r="O71" s="14"/>
      <c r="P71" s="14"/>
      <c r="Q71" s="14"/>
    </row>
    <row r="72" spans="1:17" ht="15.75" customHeight="1" x14ac:dyDescent="0.25">
      <c r="A72" s="15" t="s">
        <v>138</v>
      </c>
      <c r="B72" s="16" t="s">
        <v>139</v>
      </c>
      <c r="C72" s="16" t="s">
        <v>146</v>
      </c>
      <c r="D72" s="15" t="s">
        <v>9</v>
      </c>
      <c r="E72" s="17" t="s">
        <v>126</v>
      </c>
      <c r="F72" s="18" t="s">
        <v>127</v>
      </c>
      <c r="G72" s="17" t="s">
        <v>174</v>
      </c>
      <c r="H72" s="22">
        <v>85</v>
      </c>
      <c r="I72" s="22"/>
      <c r="J72" s="20"/>
      <c r="M72" s="14"/>
      <c r="N72" s="14"/>
      <c r="O72" s="14"/>
      <c r="P72" s="14"/>
      <c r="Q72" s="14"/>
    </row>
    <row r="73" spans="1:17" ht="15.75" customHeight="1" x14ac:dyDescent="0.25">
      <c r="A73" s="15" t="s">
        <v>138</v>
      </c>
      <c r="B73" s="16" t="s">
        <v>139</v>
      </c>
      <c r="C73" s="16" t="s">
        <v>148</v>
      </c>
      <c r="D73" s="15" t="s">
        <v>11</v>
      </c>
      <c r="E73" s="17" t="s">
        <v>126</v>
      </c>
      <c r="F73" s="18" t="s">
        <v>127</v>
      </c>
      <c r="G73" s="17" t="s">
        <v>94</v>
      </c>
      <c r="H73" s="22">
        <v>85</v>
      </c>
      <c r="I73" s="22"/>
      <c r="J73" s="20"/>
      <c r="M73" s="14"/>
      <c r="N73" s="14"/>
      <c r="O73" s="14"/>
      <c r="P73" s="14"/>
      <c r="Q73" s="14"/>
    </row>
    <row r="74" spans="1:17" ht="15.75" customHeight="1" x14ac:dyDescent="0.25">
      <c r="A74" s="15" t="s">
        <v>138</v>
      </c>
      <c r="B74" s="16" t="s">
        <v>139</v>
      </c>
      <c r="C74" s="16" t="s">
        <v>175</v>
      </c>
      <c r="D74" s="15" t="s">
        <v>160</v>
      </c>
      <c r="E74" s="17" t="s">
        <v>126</v>
      </c>
      <c r="F74" s="18" t="s">
        <v>127</v>
      </c>
      <c r="G74" s="17" t="s">
        <v>176</v>
      </c>
      <c r="H74" s="22">
        <v>170</v>
      </c>
      <c r="I74" s="22"/>
      <c r="J74" s="20"/>
      <c r="M74" s="14"/>
      <c r="N74" s="14"/>
      <c r="O74" s="14"/>
      <c r="P74" s="14"/>
      <c r="Q74" s="14"/>
    </row>
    <row r="75" spans="1:17" ht="15.75" customHeight="1" x14ac:dyDescent="0.25">
      <c r="A75" s="15" t="s">
        <v>177</v>
      </c>
      <c r="B75" s="23" t="s">
        <v>178</v>
      </c>
      <c r="C75" s="25">
        <v>44221</v>
      </c>
      <c r="D75" s="15" t="s">
        <v>5</v>
      </c>
      <c r="E75" s="17">
        <v>306</v>
      </c>
      <c r="F75" s="17" t="s">
        <v>27</v>
      </c>
      <c r="G75" s="17" t="s">
        <v>179</v>
      </c>
      <c r="H75" s="26">
        <v>70</v>
      </c>
      <c r="I75" s="22"/>
      <c r="J75" s="20"/>
      <c r="M75" s="14"/>
      <c r="N75" s="14"/>
      <c r="O75" s="14"/>
      <c r="P75" s="14"/>
      <c r="Q75" s="14"/>
    </row>
    <row r="76" spans="1:17" ht="15.75" customHeight="1" x14ac:dyDescent="0.25">
      <c r="A76" s="15" t="s">
        <v>177</v>
      </c>
      <c r="B76" s="23" t="s">
        <v>178</v>
      </c>
      <c r="C76" s="25">
        <v>44221</v>
      </c>
      <c r="D76" s="15" t="s">
        <v>6</v>
      </c>
      <c r="E76" s="17">
        <v>366</v>
      </c>
      <c r="F76" s="17" t="s">
        <v>33</v>
      </c>
      <c r="G76" s="27" t="s">
        <v>180</v>
      </c>
      <c r="H76" s="26">
        <v>70</v>
      </c>
      <c r="I76" s="22"/>
      <c r="J76" s="20"/>
      <c r="M76" s="14"/>
      <c r="N76" s="14"/>
      <c r="O76" s="14"/>
      <c r="P76" s="14"/>
      <c r="Q76" s="14"/>
    </row>
    <row r="77" spans="1:17" ht="15.75" customHeight="1" x14ac:dyDescent="0.25">
      <c r="A77" s="15" t="s">
        <v>177</v>
      </c>
      <c r="B77" s="23" t="s">
        <v>178</v>
      </c>
      <c r="C77" s="25">
        <v>44221</v>
      </c>
      <c r="D77" s="15" t="s">
        <v>9</v>
      </c>
      <c r="E77" s="17">
        <v>438</v>
      </c>
      <c r="F77" s="17" t="s">
        <v>27</v>
      </c>
      <c r="G77" s="17" t="s">
        <v>181</v>
      </c>
      <c r="H77" s="26">
        <v>70</v>
      </c>
      <c r="I77" s="22"/>
      <c r="J77" s="20"/>
      <c r="M77" s="14"/>
      <c r="N77" s="14"/>
      <c r="O77" s="14"/>
      <c r="P77" s="14"/>
      <c r="Q77" s="14"/>
    </row>
    <row r="78" spans="1:17" ht="15.75" customHeight="1" x14ac:dyDescent="0.25">
      <c r="A78" s="15" t="s">
        <v>177</v>
      </c>
      <c r="B78" s="23" t="s">
        <v>178</v>
      </c>
      <c r="C78" s="25">
        <v>44221</v>
      </c>
      <c r="D78" s="15" t="s">
        <v>182</v>
      </c>
      <c r="E78" s="17">
        <v>361</v>
      </c>
      <c r="F78" s="17" t="s">
        <v>27</v>
      </c>
      <c r="G78" s="17" t="s">
        <v>73</v>
      </c>
      <c r="H78" s="26">
        <v>85</v>
      </c>
      <c r="I78" s="22"/>
      <c r="J78" s="20"/>
      <c r="M78" s="14"/>
      <c r="N78" s="14"/>
      <c r="O78" s="14"/>
      <c r="P78" s="14"/>
      <c r="Q78" s="14"/>
    </row>
    <row r="79" spans="1:17" ht="15.75" customHeight="1" x14ac:dyDescent="0.25">
      <c r="A79" s="15" t="s">
        <v>177</v>
      </c>
      <c r="B79" s="23" t="s">
        <v>178</v>
      </c>
      <c r="C79" s="25">
        <v>44222</v>
      </c>
      <c r="D79" s="15" t="s">
        <v>5</v>
      </c>
      <c r="E79" s="17" t="s">
        <v>183</v>
      </c>
      <c r="F79" s="17" t="s">
        <v>33</v>
      </c>
      <c r="G79" s="17" t="s">
        <v>76</v>
      </c>
      <c r="H79" s="26">
        <v>70</v>
      </c>
      <c r="I79" s="22"/>
      <c r="J79" s="20"/>
      <c r="M79" s="14"/>
      <c r="N79" s="14"/>
      <c r="O79" s="14"/>
      <c r="P79" s="14"/>
      <c r="Q79" s="14"/>
    </row>
    <row r="80" spans="1:17" ht="15.75" customHeight="1" x14ac:dyDescent="0.25">
      <c r="A80" s="15" t="s">
        <v>177</v>
      </c>
      <c r="B80" s="23" t="s">
        <v>178</v>
      </c>
      <c r="C80" s="25">
        <v>44222</v>
      </c>
      <c r="D80" s="15" t="s">
        <v>6</v>
      </c>
      <c r="E80" s="17">
        <v>557</v>
      </c>
      <c r="F80" s="17" t="s">
        <v>33</v>
      </c>
      <c r="G80" s="17" t="s">
        <v>184</v>
      </c>
      <c r="H80" s="26">
        <v>70</v>
      </c>
      <c r="I80" s="22"/>
      <c r="J80" s="20"/>
      <c r="M80" s="14"/>
      <c r="N80" s="14"/>
      <c r="O80" s="14"/>
      <c r="P80" s="14"/>
      <c r="Q80" s="14"/>
    </row>
    <row r="81" spans="1:17" ht="15.75" customHeight="1" x14ac:dyDescent="0.25">
      <c r="A81" s="15" t="s">
        <v>177</v>
      </c>
      <c r="B81" s="23" t="s">
        <v>178</v>
      </c>
      <c r="C81" s="25">
        <v>44223</v>
      </c>
      <c r="D81" s="15" t="s">
        <v>6</v>
      </c>
      <c r="E81" s="17">
        <v>557</v>
      </c>
      <c r="F81" s="17" t="s">
        <v>33</v>
      </c>
      <c r="G81" s="17" t="s">
        <v>185</v>
      </c>
      <c r="H81" s="26">
        <v>80</v>
      </c>
      <c r="I81" s="15"/>
      <c r="J81" s="15"/>
      <c r="M81" s="14"/>
      <c r="N81" s="14"/>
      <c r="O81" s="14"/>
      <c r="P81" s="14"/>
      <c r="Q81" s="14"/>
    </row>
    <row r="82" spans="1:17" ht="15.75" customHeight="1" x14ac:dyDescent="0.25">
      <c r="A82" s="15" t="s">
        <v>177</v>
      </c>
      <c r="B82" s="23" t="s">
        <v>178</v>
      </c>
      <c r="C82" s="25">
        <v>44223</v>
      </c>
      <c r="D82" s="15" t="s">
        <v>8</v>
      </c>
      <c r="E82" s="17">
        <v>600</v>
      </c>
      <c r="F82" s="17" t="s">
        <v>33</v>
      </c>
      <c r="G82" s="17" t="s">
        <v>186</v>
      </c>
      <c r="H82" s="26">
        <v>93</v>
      </c>
      <c r="I82" s="15"/>
      <c r="J82" s="15"/>
      <c r="M82" s="14"/>
      <c r="N82" s="13"/>
      <c r="O82" s="13"/>
      <c r="P82" s="13"/>
      <c r="Q82" s="14"/>
    </row>
    <row r="83" spans="1:17" ht="15.75" customHeight="1" x14ac:dyDescent="0.25">
      <c r="A83" s="15" t="s">
        <v>177</v>
      </c>
      <c r="B83" s="23" t="s">
        <v>178</v>
      </c>
      <c r="C83" s="23" t="s">
        <v>187</v>
      </c>
      <c r="D83" s="15" t="s">
        <v>11</v>
      </c>
      <c r="E83" s="17">
        <v>432</v>
      </c>
      <c r="F83" s="17" t="s">
        <v>26</v>
      </c>
      <c r="G83" s="17" t="s">
        <v>188</v>
      </c>
      <c r="H83" s="26">
        <v>127</v>
      </c>
      <c r="I83" s="15"/>
      <c r="J83" s="15"/>
      <c r="M83" s="14"/>
      <c r="N83" s="13"/>
      <c r="O83" s="13"/>
      <c r="P83" s="13"/>
      <c r="Q83" s="14"/>
    </row>
    <row r="84" spans="1:17" ht="15.75" customHeight="1" x14ac:dyDescent="0.25">
      <c r="A84" s="15" t="s">
        <v>177</v>
      </c>
      <c r="B84" s="23" t="s">
        <v>178</v>
      </c>
      <c r="C84" s="23" t="s">
        <v>187</v>
      </c>
      <c r="D84" s="15" t="s">
        <v>6</v>
      </c>
      <c r="E84" s="17">
        <v>581</v>
      </c>
      <c r="F84" s="17" t="s">
        <v>33</v>
      </c>
      <c r="G84" s="17" t="s">
        <v>189</v>
      </c>
      <c r="H84" s="26">
        <v>70</v>
      </c>
      <c r="I84" s="15"/>
      <c r="J84" s="15"/>
      <c r="M84" s="14"/>
      <c r="N84" s="13"/>
      <c r="O84" s="13"/>
      <c r="P84" s="13"/>
      <c r="Q84" s="14"/>
    </row>
    <row r="85" spans="1:17" ht="15.75" customHeight="1" x14ac:dyDescent="0.25">
      <c r="A85" s="15" t="s">
        <v>177</v>
      </c>
      <c r="B85" s="23" t="s">
        <v>178</v>
      </c>
      <c r="C85" s="23" t="s">
        <v>187</v>
      </c>
      <c r="D85" s="15" t="s">
        <v>8</v>
      </c>
      <c r="E85" s="17">
        <v>638</v>
      </c>
      <c r="F85" s="17" t="s">
        <v>33</v>
      </c>
      <c r="G85" s="17" t="s">
        <v>190</v>
      </c>
      <c r="H85" s="26">
        <v>94</v>
      </c>
      <c r="I85" s="15"/>
      <c r="J85" s="15"/>
      <c r="M85" s="14"/>
      <c r="N85" s="13"/>
      <c r="O85" s="13"/>
      <c r="P85" s="13"/>
      <c r="Q85" s="14"/>
    </row>
    <row r="86" spans="1:17" ht="15.75" customHeight="1" x14ac:dyDescent="0.25">
      <c r="A86" s="15" t="s">
        <v>177</v>
      </c>
      <c r="B86" s="23" t="s">
        <v>178</v>
      </c>
      <c r="C86" s="23" t="s">
        <v>187</v>
      </c>
      <c r="D86" s="15" t="s">
        <v>5</v>
      </c>
      <c r="E86" s="17">
        <v>599</v>
      </c>
      <c r="F86" s="17" t="s">
        <v>26</v>
      </c>
      <c r="G86" s="17" t="s">
        <v>113</v>
      </c>
      <c r="H86" s="26">
        <v>70</v>
      </c>
      <c r="I86" s="15"/>
      <c r="J86" s="15"/>
      <c r="M86" s="14"/>
      <c r="N86" s="13"/>
      <c r="O86" s="13"/>
      <c r="P86" s="13"/>
      <c r="Q86" s="14"/>
    </row>
    <row r="87" spans="1:17" ht="15.75" customHeight="1" x14ac:dyDescent="0.25">
      <c r="A87" s="15" t="s">
        <v>177</v>
      </c>
      <c r="B87" s="23" t="s">
        <v>178</v>
      </c>
      <c r="C87" s="23" t="s">
        <v>187</v>
      </c>
      <c r="D87" s="15" t="s">
        <v>160</v>
      </c>
      <c r="E87" s="17">
        <v>599</v>
      </c>
      <c r="F87" s="17" t="s">
        <v>26</v>
      </c>
      <c r="G87" s="17" t="s">
        <v>87</v>
      </c>
      <c r="H87" s="26">
        <v>70</v>
      </c>
      <c r="I87" s="15"/>
      <c r="J87" s="15"/>
      <c r="M87" s="14"/>
      <c r="N87" s="13"/>
      <c r="O87" s="13"/>
      <c r="P87" s="13"/>
      <c r="Q87" s="14"/>
    </row>
    <row r="88" spans="1:17" ht="15.75" customHeight="1" x14ac:dyDescent="0.25">
      <c r="A88" s="15" t="s">
        <v>177</v>
      </c>
      <c r="B88" s="23" t="s">
        <v>178</v>
      </c>
      <c r="C88" s="23" t="s">
        <v>191</v>
      </c>
      <c r="D88" s="15" t="s">
        <v>11</v>
      </c>
      <c r="E88" s="17">
        <v>599</v>
      </c>
      <c r="F88" s="17" t="s">
        <v>26</v>
      </c>
      <c r="G88" s="17" t="s">
        <v>135</v>
      </c>
      <c r="H88" s="26">
        <v>116.8</v>
      </c>
      <c r="I88" s="15"/>
      <c r="J88" s="15"/>
      <c r="M88" s="14"/>
      <c r="N88" s="13"/>
      <c r="O88" s="13"/>
      <c r="P88" s="13"/>
      <c r="Q88" s="14"/>
    </row>
    <row r="89" spans="1:17" ht="15.75" customHeight="1" x14ac:dyDescent="0.25">
      <c r="A89" s="15" t="s">
        <v>177</v>
      </c>
      <c r="B89" s="23" t="s">
        <v>178</v>
      </c>
      <c r="C89" s="25">
        <v>44225</v>
      </c>
      <c r="D89" s="15" t="s">
        <v>182</v>
      </c>
      <c r="E89" s="17">
        <v>599</v>
      </c>
      <c r="F89" s="17" t="s">
        <v>26</v>
      </c>
      <c r="G89" s="17" t="s">
        <v>192</v>
      </c>
      <c r="H89" s="26">
        <v>85</v>
      </c>
      <c r="I89" s="15"/>
      <c r="J89" s="15"/>
      <c r="M89" s="14"/>
      <c r="N89" s="13"/>
      <c r="O89" s="13"/>
      <c r="P89" s="13"/>
      <c r="Q89" s="14"/>
    </row>
    <row r="90" spans="1:17" ht="15.75" customHeight="1" x14ac:dyDescent="0.25">
      <c r="A90" s="15" t="s">
        <v>177</v>
      </c>
      <c r="B90" s="23" t="s">
        <v>178</v>
      </c>
      <c r="C90" s="25">
        <v>44225</v>
      </c>
      <c r="D90" s="15" t="s">
        <v>88</v>
      </c>
      <c r="E90" s="17">
        <v>599</v>
      </c>
      <c r="F90" s="17" t="s">
        <v>26</v>
      </c>
      <c r="G90" s="17" t="s">
        <v>193</v>
      </c>
      <c r="H90" s="26">
        <v>75</v>
      </c>
      <c r="I90" s="15"/>
      <c r="J90" s="15"/>
      <c r="M90" s="14"/>
      <c r="N90" s="13"/>
      <c r="O90" s="13"/>
      <c r="P90" s="13"/>
      <c r="Q90" s="14"/>
    </row>
    <row r="91" spans="1:17" ht="15.75" customHeight="1" x14ac:dyDescent="0.25">
      <c r="A91" s="15" t="s">
        <v>177</v>
      </c>
      <c r="B91" s="23" t="s">
        <v>178</v>
      </c>
      <c r="C91" s="25">
        <v>44225</v>
      </c>
      <c r="D91" s="15" t="s">
        <v>160</v>
      </c>
      <c r="E91" s="17">
        <v>599</v>
      </c>
      <c r="F91" s="17" t="s">
        <v>26</v>
      </c>
      <c r="G91" s="17" t="s">
        <v>121</v>
      </c>
      <c r="H91" s="26">
        <v>70</v>
      </c>
      <c r="I91" s="15"/>
      <c r="J91" s="15"/>
      <c r="M91" s="14"/>
      <c r="N91" s="13"/>
      <c r="O91" s="13"/>
      <c r="P91" s="13"/>
      <c r="Q91" s="14"/>
    </row>
    <row r="92" spans="1:17" ht="15.75" customHeight="1" x14ac:dyDescent="0.25">
      <c r="A92" s="15" t="s">
        <v>177</v>
      </c>
      <c r="B92" s="23" t="s">
        <v>178</v>
      </c>
      <c r="C92" s="25">
        <v>44225</v>
      </c>
      <c r="D92" s="15" t="s">
        <v>5</v>
      </c>
      <c r="E92" s="17" t="s">
        <v>194</v>
      </c>
      <c r="F92" s="17" t="s">
        <v>39</v>
      </c>
      <c r="G92" s="17" t="s">
        <v>142</v>
      </c>
      <c r="H92" s="26">
        <v>70</v>
      </c>
      <c r="I92" s="15"/>
      <c r="J92" s="15"/>
      <c r="M92" s="14"/>
      <c r="N92" s="13"/>
      <c r="O92" s="13"/>
      <c r="P92" s="13"/>
      <c r="Q92" s="14"/>
    </row>
    <row r="93" spans="1:17" ht="15.75" customHeight="1" x14ac:dyDescent="0.25">
      <c r="A93" s="15" t="s">
        <v>177</v>
      </c>
      <c r="B93" s="23" t="s">
        <v>178</v>
      </c>
      <c r="C93" s="25">
        <v>44225</v>
      </c>
      <c r="D93" s="15" t="s">
        <v>9</v>
      </c>
      <c r="E93" s="17">
        <v>658</v>
      </c>
      <c r="F93" s="17" t="s">
        <v>33</v>
      </c>
      <c r="G93" s="17" t="s">
        <v>195</v>
      </c>
      <c r="H93" s="26">
        <v>70</v>
      </c>
      <c r="I93" s="15"/>
      <c r="J93" s="15"/>
      <c r="M93" s="14"/>
      <c r="N93" s="13"/>
      <c r="O93" s="13"/>
      <c r="P93" s="13"/>
      <c r="Q93" s="14"/>
    </row>
    <row r="94" spans="1:17" ht="15.75" customHeight="1" x14ac:dyDescent="0.25">
      <c r="A94" s="15" t="s">
        <v>177</v>
      </c>
      <c r="B94" s="23" t="s">
        <v>178</v>
      </c>
      <c r="C94" s="25">
        <v>44225</v>
      </c>
      <c r="D94" s="15" t="s">
        <v>6</v>
      </c>
      <c r="E94" s="17" t="s">
        <v>196</v>
      </c>
      <c r="F94" s="17" t="s">
        <v>39</v>
      </c>
      <c r="G94" s="17" t="s">
        <v>197</v>
      </c>
      <c r="H94" s="26">
        <v>80</v>
      </c>
      <c r="I94" s="15"/>
      <c r="J94" s="15"/>
      <c r="M94" s="14"/>
      <c r="N94" s="13"/>
      <c r="O94" s="13"/>
      <c r="P94" s="13"/>
      <c r="Q94" s="14"/>
    </row>
    <row r="95" spans="1:17" ht="15.75" customHeight="1" x14ac:dyDescent="0.25">
      <c r="A95" s="15" t="s">
        <v>177</v>
      </c>
      <c r="B95" s="23" t="s">
        <v>178</v>
      </c>
      <c r="C95" s="25">
        <v>44225</v>
      </c>
      <c r="D95" s="15" t="s">
        <v>198</v>
      </c>
      <c r="E95" s="17" t="s">
        <v>196</v>
      </c>
      <c r="F95" s="17" t="s">
        <v>39</v>
      </c>
      <c r="G95" s="17" t="s">
        <v>121</v>
      </c>
      <c r="H95" s="26">
        <v>80</v>
      </c>
      <c r="I95" s="15"/>
      <c r="J95" s="15"/>
      <c r="M95" s="14"/>
      <c r="N95" s="13"/>
      <c r="O95" s="13"/>
      <c r="P95" s="13"/>
      <c r="Q95" s="14"/>
    </row>
    <row r="96" spans="1:17" ht="15.75" customHeight="1" x14ac:dyDescent="0.25">
      <c r="A96" s="15" t="s">
        <v>177</v>
      </c>
      <c r="B96" s="23" t="s">
        <v>178</v>
      </c>
      <c r="C96" s="25">
        <v>44226</v>
      </c>
      <c r="D96" s="15" t="s">
        <v>11</v>
      </c>
      <c r="E96" s="17">
        <v>599</v>
      </c>
      <c r="F96" s="17" t="s">
        <v>26</v>
      </c>
      <c r="G96" s="17" t="s">
        <v>199</v>
      </c>
      <c r="H96" s="26">
        <v>85</v>
      </c>
      <c r="I96" s="15"/>
      <c r="J96" s="15"/>
      <c r="M96" s="14"/>
      <c r="N96" s="13"/>
      <c r="O96" s="13"/>
      <c r="P96" s="13"/>
      <c r="Q96" s="14"/>
    </row>
    <row r="97" spans="1:17" ht="15.75" customHeight="1" x14ac:dyDescent="0.25">
      <c r="A97" s="15" t="s">
        <v>177</v>
      </c>
      <c r="B97" s="23" t="s">
        <v>178</v>
      </c>
      <c r="C97" s="25">
        <v>44212</v>
      </c>
      <c r="D97" s="15" t="s">
        <v>182</v>
      </c>
      <c r="E97" s="17">
        <v>370</v>
      </c>
      <c r="F97" s="17" t="s">
        <v>26</v>
      </c>
      <c r="G97" s="17" t="s">
        <v>200</v>
      </c>
      <c r="H97" s="26">
        <v>70</v>
      </c>
      <c r="I97" s="15"/>
      <c r="J97" s="15"/>
      <c r="M97" s="14"/>
      <c r="N97" s="13"/>
      <c r="O97" s="13"/>
      <c r="P97" s="13"/>
      <c r="Q97" s="14"/>
    </row>
    <row r="98" spans="1:17" ht="15.75" customHeight="1" x14ac:dyDescent="0.25">
      <c r="A98" s="15" t="s">
        <v>177</v>
      </c>
      <c r="B98" s="23" t="s">
        <v>178</v>
      </c>
      <c r="C98" s="25">
        <v>44214</v>
      </c>
      <c r="D98" s="15" t="s">
        <v>182</v>
      </c>
      <c r="E98" s="17">
        <v>361</v>
      </c>
      <c r="F98" s="17" t="s">
        <v>27</v>
      </c>
      <c r="G98" s="17" t="s">
        <v>200</v>
      </c>
      <c r="H98" s="26">
        <v>70</v>
      </c>
      <c r="I98" s="15"/>
      <c r="J98" s="15"/>
      <c r="M98" s="14"/>
      <c r="N98" s="13"/>
      <c r="O98" s="13"/>
      <c r="P98" s="13"/>
      <c r="Q98" s="14"/>
    </row>
    <row r="99" spans="1:17" ht="15.75" customHeight="1" x14ac:dyDescent="0.25">
      <c r="A99" s="15" t="s">
        <v>177</v>
      </c>
      <c r="B99" s="23" t="s">
        <v>178</v>
      </c>
      <c r="C99" s="25">
        <v>44221</v>
      </c>
      <c r="D99" s="15" t="s">
        <v>182</v>
      </c>
      <c r="E99" s="17">
        <v>500</v>
      </c>
      <c r="F99" s="17" t="s">
        <v>26</v>
      </c>
      <c r="G99" s="17" t="s">
        <v>200</v>
      </c>
      <c r="H99" s="26">
        <v>70</v>
      </c>
      <c r="I99" s="15"/>
      <c r="J99" s="15"/>
      <c r="M99" s="14"/>
      <c r="N99" s="13"/>
      <c r="O99" s="13"/>
      <c r="P99" s="13"/>
      <c r="Q99" s="14"/>
    </row>
    <row r="100" spans="1:17" ht="15.75" customHeight="1" x14ac:dyDescent="0.25">
      <c r="A100" s="15" t="s">
        <v>177</v>
      </c>
      <c r="B100" s="23" t="s">
        <v>178</v>
      </c>
      <c r="C100" s="25">
        <v>44113</v>
      </c>
      <c r="D100" s="15" t="s">
        <v>201</v>
      </c>
      <c r="E100" s="17" t="s">
        <v>202</v>
      </c>
      <c r="F100" s="17" t="s">
        <v>39</v>
      </c>
      <c r="G100" s="17" t="s">
        <v>203</v>
      </c>
      <c r="H100" s="26">
        <v>70</v>
      </c>
      <c r="I100" s="15"/>
      <c r="J100" s="15"/>
      <c r="M100" s="14"/>
      <c r="N100" s="13"/>
      <c r="O100" s="13"/>
      <c r="P100" s="13"/>
      <c r="Q100" s="14"/>
    </row>
    <row r="101" spans="1:17" ht="15.75" customHeight="1" x14ac:dyDescent="0.25">
      <c r="A101" s="15" t="s">
        <v>177</v>
      </c>
      <c r="B101" s="23" t="s">
        <v>178</v>
      </c>
      <c r="C101" s="17" t="s">
        <v>204</v>
      </c>
      <c r="D101" s="15" t="s">
        <v>78</v>
      </c>
      <c r="E101" s="17" t="s">
        <v>79</v>
      </c>
      <c r="F101" s="17" t="s">
        <v>80</v>
      </c>
      <c r="G101" s="17" t="s">
        <v>205</v>
      </c>
      <c r="H101" s="26">
        <v>340</v>
      </c>
      <c r="I101" s="15"/>
      <c r="J101" s="15"/>
      <c r="M101" s="21"/>
      <c r="N101" s="13"/>
      <c r="O101" s="13"/>
      <c r="P101" s="13"/>
      <c r="Q101" s="14"/>
    </row>
    <row r="102" spans="1:17" ht="15.75" customHeight="1" x14ac:dyDescent="0.25">
      <c r="A102" s="15" t="s">
        <v>206</v>
      </c>
      <c r="B102" s="23" t="s">
        <v>178</v>
      </c>
      <c r="C102" s="17" t="s">
        <v>207</v>
      </c>
      <c r="D102" s="15" t="s">
        <v>83</v>
      </c>
      <c r="E102" s="17" t="s">
        <v>79</v>
      </c>
      <c r="F102" s="17" t="s">
        <v>80</v>
      </c>
      <c r="G102" s="17" t="s">
        <v>89</v>
      </c>
      <c r="H102" s="26">
        <v>510</v>
      </c>
      <c r="I102" s="15"/>
      <c r="J102" s="15"/>
      <c r="M102" s="21"/>
      <c r="N102" s="13"/>
      <c r="O102" s="13"/>
      <c r="P102" s="13"/>
      <c r="Q102" s="14"/>
    </row>
    <row r="103" spans="1:17" ht="15.75" customHeight="1" x14ac:dyDescent="0.25">
      <c r="A103" s="15" t="s">
        <v>208</v>
      </c>
      <c r="B103" s="23" t="s">
        <v>178</v>
      </c>
      <c r="C103" s="17" t="s">
        <v>207</v>
      </c>
      <c r="D103" s="15" t="s">
        <v>86</v>
      </c>
      <c r="E103" s="17" t="s">
        <v>79</v>
      </c>
      <c r="F103" s="17" t="s">
        <v>80</v>
      </c>
      <c r="G103" s="17" t="s">
        <v>106</v>
      </c>
      <c r="H103" s="26">
        <v>690</v>
      </c>
      <c r="I103" s="15"/>
      <c r="J103" s="15"/>
      <c r="M103" s="21"/>
      <c r="N103" s="13"/>
      <c r="O103" s="13"/>
      <c r="P103" s="13"/>
      <c r="Q103" s="14"/>
    </row>
    <row r="104" spans="1:17" ht="15.75" customHeight="1" x14ac:dyDescent="0.25">
      <c r="A104" s="15" t="s">
        <v>209</v>
      </c>
      <c r="B104" s="23" t="s">
        <v>178</v>
      </c>
      <c r="C104" s="17" t="s">
        <v>207</v>
      </c>
      <c r="D104" s="15" t="s">
        <v>88</v>
      </c>
      <c r="E104" s="17" t="s">
        <v>79</v>
      </c>
      <c r="F104" s="17" t="s">
        <v>80</v>
      </c>
      <c r="G104" s="17" t="s">
        <v>210</v>
      </c>
      <c r="H104" s="26">
        <v>425</v>
      </c>
      <c r="I104" s="15"/>
      <c r="J104" s="15"/>
      <c r="M104" s="21"/>
      <c r="N104" s="13"/>
      <c r="O104" s="13"/>
      <c r="P104" s="13"/>
      <c r="Q104" s="14"/>
    </row>
    <row r="105" spans="1:17" ht="15.75" customHeight="1" x14ac:dyDescent="0.25">
      <c r="A105" s="15" t="s">
        <v>211</v>
      </c>
      <c r="B105" s="23" t="s">
        <v>62</v>
      </c>
      <c r="C105" s="25">
        <v>44228</v>
      </c>
      <c r="D105" s="15" t="s">
        <v>5</v>
      </c>
      <c r="E105" s="17">
        <v>673</v>
      </c>
      <c r="F105" s="17" t="s">
        <v>33</v>
      </c>
      <c r="G105" s="17" t="s">
        <v>212</v>
      </c>
      <c r="H105" s="26">
        <v>70</v>
      </c>
      <c r="M105" s="21"/>
      <c r="N105" s="13"/>
      <c r="O105" s="13"/>
      <c r="P105" s="13"/>
      <c r="Q105" s="14"/>
    </row>
    <row r="106" spans="1:17" ht="15.75" customHeight="1" x14ac:dyDescent="0.25">
      <c r="A106" s="15" t="s">
        <v>211</v>
      </c>
      <c r="B106" s="23" t="s">
        <v>62</v>
      </c>
      <c r="C106" s="25">
        <v>44229</v>
      </c>
      <c r="D106" s="15" t="s">
        <v>5</v>
      </c>
      <c r="E106" s="17">
        <v>465</v>
      </c>
      <c r="F106" s="17" t="s">
        <v>39</v>
      </c>
      <c r="G106" s="17" t="s">
        <v>213</v>
      </c>
      <c r="H106" s="26">
        <v>70</v>
      </c>
      <c r="M106" s="21"/>
      <c r="N106" s="13"/>
      <c r="O106" s="13"/>
      <c r="P106" s="13"/>
      <c r="Q106" s="14"/>
    </row>
    <row r="107" spans="1:17" ht="15.75" customHeight="1" x14ac:dyDescent="0.25">
      <c r="A107" s="15" t="s">
        <v>214</v>
      </c>
      <c r="B107" s="23" t="s">
        <v>62</v>
      </c>
      <c r="C107" s="25">
        <v>44229</v>
      </c>
      <c r="D107" s="15" t="s">
        <v>6</v>
      </c>
      <c r="E107" s="17">
        <v>716</v>
      </c>
      <c r="F107" s="17" t="s">
        <v>26</v>
      </c>
      <c r="G107" s="17" t="s">
        <v>215</v>
      </c>
      <c r="H107" s="26">
        <v>80</v>
      </c>
      <c r="M107" s="21"/>
      <c r="N107" s="13"/>
      <c r="O107" s="13"/>
      <c r="P107" s="13"/>
      <c r="Q107" s="14"/>
    </row>
    <row r="108" spans="1:17" ht="15.75" customHeight="1" x14ac:dyDescent="0.25">
      <c r="A108" s="15" t="s">
        <v>214</v>
      </c>
      <c r="B108" s="23" t="s">
        <v>62</v>
      </c>
      <c r="C108" s="25">
        <v>44231</v>
      </c>
      <c r="D108" s="15" t="s">
        <v>6</v>
      </c>
      <c r="E108" s="17">
        <v>535</v>
      </c>
      <c r="F108" s="17" t="s">
        <v>33</v>
      </c>
      <c r="G108" s="17" t="s">
        <v>216</v>
      </c>
      <c r="H108" s="26">
        <v>80</v>
      </c>
      <c r="M108" s="21"/>
      <c r="N108" s="13"/>
      <c r="O108" s="13"/>
      <c r="P108" s="13"/>
      <c r="Q108" s="14"/>
    </row>
    <row r="109" spans="1:17" ht="15.75" customHeight="1" x14ac:dyDescent="0.25">
      <c r="A109" s="15" t="s">
        <v>214</v>
      </c>
      <c r="B109" s="23" t="s">
        <v>62</v>
      </c>
      <c r="C109" s="25">
        <v>44231</v>
      </c>
      <c r="D109" s="15" t="s">
        <v>11</v>
      </c>
      <c r="E109" s="17">
        <v>752</v>
      </c>
      <c r="F109" s="17" t="s">
        <v>26</v>
      </c>
      <c r="G109" s="17" t="s">
        <v>159</v>
      </c>
      <c r="H109" s="26">
        <v>85</v>
      </c>
      <c r="M109" s="21"/>
      <c r="N109" s="13"/>
      <c r="O109" s="13"/>
      <c r="P109" s="13"/>
      <c r="Q109" s="14"/>
    </row>
    <row r="110" spans="1:17" ht="15.75" customHeight="1" x14ac:dyDescent="0.25">
      <c r="A110" s="15" t="s">
        <v>214</v>
      </c>
      <c r="B110" s="23" t="s">
        <v>62</v>
      </c>
      <c r="C110" s="25">
        <v>44231</v>
      </c>
      <c r="D110" s="15" t="s">
        <v>11</v>
      </c>
      <c r="E110" s="17">
        <v>752</v>
      </c>
      <c r="F110" s="17" t="s">
        <v>26</v>
      </c>
      <c r="G110" s="17" t="s">
        <v>217</v>
      </c>
      <c r="H110" s="26">
        <v>116.8</v>
      </c>
      <c r="M110" s="21"/>
      <c r="N110" s="13"/>
      <c r="O110" s="13"/>
      <c r="P110" s="13"/>
      <c r="Q110" s="14"/>
    </row>
    <row r="111" spans="1:17" ht="15.75" customHeight="1" x14ac:dyDescent="0.25">
      <c r="A111" s="15" t="s">
        <v>214</v>
      </c>
      <c r="B111" s="23" t="s">
        <v>62</v>
      </c>
      <c r="C111" s="25">
        <v>44231</v>
      </c>
      <c r="D111" s="15" t="s">
        <v>160</v>
      </c>
      <c r="E111" s="17">
        <v>752</v>
      </c>
      <c r="F111" s="17" t="s">
        <v>26</v>
      </c>
      <c r="G111" s="17" t="s">
        <v>137</v>
      </c>
      <c r="H111" s="26">
        <v>70</v>
      </c>
      <c r="M111" s="21"/>
      <c r="N111" s="13"/>
      <c r="O111" s="13"/>
      <c r="P111" s="13"/>
      <c r="Q111" s="14"/>
    </row>
    <row r="112" spans="1:17" ht="15.75" customHeight="1" x14ac:dyDescent="0.25">
      <c r="A112" s="15" t="s">
        <v>214</v>
      </c>
      <c r="B112" s="23" t="s">
        <v>62</v>
      </c>
      <c r="C112" s="25">
        <v>44231</v>
      </c>
      <c r="D112" s="15" t="s">
        <v>9</v>
      </c>
      <c r="E112" s="17">
        <v>752</v>
      </c>
      <c r="F112" s="17" t="s">
        <v>26</v>
      </c>
      <c r="G112" s="17" t="s">
        <v>218</v>
      </c>
      <c r="H112" s="26">
        <v>70</v>
      </c>
      <c r="M112" s="21"/>
      <c r="N112" s="13"/>
      <c r="O112" s="13"/>
      <c r="P112" s="13"/>
      <c r="Q112" s="14"/>
    </row>
    <row r="113" spans="1:17" ht="15.75" customHeight="1" x14ac:dyDescent="0.25">
      <c r="A113" s="15" t="s">
        <v>214</v>
      </c>
      <c r="B113" s="23" t="s">
        <v>62</v>
      </c>
      <c r="C113" s="25">
        <v>44231</v>
      </c>
      <c r="D113" s="15" t="s">
        <v>182</v>
      </c>
      <c r="E113" s="17">
        <v>752</v>
      </c>
      <c r="F113" s="17" t="s">
        <v>26</v>
      </c>
      <c r="G113" s="17" t="s">
        <v>74</v>
      </c>
      <c r="H113" s="26">
        <v>85</v>
      </c>
      <c r="M113" s="21"/>
      <c r="N113" s="13"/>
      <c r="O113" s="13"/>
      <c r="P113" s="13"/>
      <c r="Q113" s="14"/>
    </row>
    <row r="114" spans="1:17" ht="15.75" customHeight="1" x14ac:dyDescent="0.25">
      <c r="A114" s="15" t="s">
        <v>214</v>
      </c>
      <c r="B114" s="23" t="s">
        <v>62</v>
      </c>
      <c r="C114" s="25">
        <v>44231</v>
      </c>
      <c r="D114" s="15" t="s">
        <v>5</v>
      </c>
      <c r="E114" s="17">
        <v>726</v>
      </c>
      <c r="F114" s="17" t="s">
        <v>26</v>
      </c>
      <c r="G114" s="17" t="s">
        <v>219</v>
      </c>
      <c r="H114" s="26">
        <v>70</v>
      </c>
      <c r="M114" s="21"/>
      <c r="N114" s="13"/>
      <c r="O114" s="13"/>
      <c r="P114" s="13"/>
      <c r="Q114" s="14"/>
    </row>
    <row r="115" spans="1:17" ht="15.75" customHeight="1" x14ac:dyDescent="0.25">
      <c r="A115" s="15" t="s">
        <v>214</v>
      </c>
      <c r="B115" s="23" t="s">
        <v>62</v>
      </c>
      <c r="C115" s="25">
        <v>44231</v>
      </c>
      <c r="D115" s="15" t="s">
        <v>12</v>
      </c>
      <c r="E115" s="17">
        <v>726</v>
      </c>
      <c r="F115" s="17" t="s">
        <v>26</v>
      </c>
      <c r="G115" s="17" t="s">
        <v>212</v>
      </c>
      <c r="H115" s="26">
        <v>130</v>
      </c>
      <c r="M115" s="21"/>
      <c r="N115" s="13"/>
      <c r="O115" s="13"/>
      <c r="P115" s="13"/>
      <c r="Q115" s="14"/>
    </row>
    <row r="116" spans="1:17" ht="15.75" customHeight="1" x14ac:dyDescent="0.25">
      <c r="A116" s="15" t="s">
        <v>214</v>
      </c>
      <c r="B116" s="23" t="s">
        <v>62</v>
      </c>
      <c r="C116" s="25">
        <v>44233</v>
      </c>
      <c r="D116" s="15" t="s">
        <v>5</v>
      </c>
      <c r="E116" s="17">
        <v>804</v>
      </c>
      <c r="F116" s="17" t="s">
        <v>26</v>
      </c>
      <c r="G116" s="17" t="s">
        <v>220</v>
      </c>
      <c r="H116" s="26">
        <v>70</v>
      </c>
      <c r="M116" s="21"/>
      <c r="N116" s="13"/>
      <c r="O116" s="13"/>
      <c r="P116" s="13"/>
      <c r="Q116" s="14"/>
    </row>
    <row r="117" spans="1:17" ht="15.75" customHeight="1" x14ac:dyDescent="0.25">
      <c r="A117" s="15" t="s">
        <v>214</v>
      </c>
      <c r="B117" s="23" t="s">
        <v>62</v>
      </c>
      <c r="C117" s="25">
        <v>44233</v>
      </c>
      <c r="D117" s="15" t="s">
        <v>12</v>
      </c>
      <c r="E117" s="17">
        <v>804</v>
      </c>
      <c r="F117" s="17" t="s">
        <v>26</v>
      </c>
      <c r="G117" s="17" t="s">
        <v>213</v>
      </c>
      <c r="H117" s="26">
        <v>130</v>
      </c>
      <c r="M117" s="21"/>
      <c r="N117" s="13"/>
      <c r="O117" s="13"/>
      <c r="P117" s="13"/>
      <c r="Q117" s="14"/>
    </row>
    <row r="118" spans="1:17" ht="15.75" customHeight="1" x14ac:dyDescent="0.25">
      <c r="A118" s="15" t="s">
        <v>214</v>
      </c>
      <c r="B118" s="23" t="s">
        <v>62</v>
      </c>
      <c r="C118" s="25">
        <v>44233</v>
      </c>
      <c r="D118" s="15" t="s">
        <v>67</v>
      </c>
      <c r="E118" s="17">
        <v>804</v>
      </c>
      <c r="F118" s="17" t="s">
        <v>221</v>
      </c>
      <c r="G118" s="17" t="s">
        <v>173</v>
      </c>
      <c r="H118" s="26">
        <v>50</v>
      </c>
      <c r="I118" s="15"/>
      <c r="J118" s="15"/>
      <c r="M118" s="21"/>
      <c r="N118" s="13"/>
      <c r="O118" s="13"/>
      <c r="P118" s="13"/>
      <c r="Q118" s="14"/>
    </row>
    <row r="119" spans="1:17" ht="15.75" customHeight="1" x14ac:dyDescent="0.25">
      <c r="A119" s="15" t="s">
        <v>214</v>
      </c>
      <c r="B119" s="23" t="s">
        <v>62</v>
      </c>
      <c r="C119" s="25">
        <v>44232</v>
      </c>
      <c r="D119" s="15" t="s">
        <v>11</v>
      </c>
      <c r="E119" s="17">
        <v>752</v>
      </c>
      <c r="F119" s="17" t="s">
        <v>26</v>
      </c>
      <c r="G119" s="17" t="s">
        <v>101</v>
      </c>
      <c r="H119" s="26">
        <v>127.5</v>
      </c>
      <c r="M119" s="21"/>
      <c r="N119" s="13"/>
      <c r="O119" s="13"/>
      <c r="P119" s="13"/>
      <c r="Q119" s="14"/>
    </row>
    <row r="120" spans="1:17" ht="15.75" customHeight="1" x14ac:dyDescent="0.25">
      <c r="A120" s="15" t="s">
        <v>214</v>
      </c>
      <c r="B120" s="23" t="s">
        <v>62</v>
      </c>
      <c r="C120" s="25">
        <v>44232</v>
      </c>
      <c r="D120" s="15" t="s">
        <v>160</v>
      </c>
      <c r="E120" s="17">
        <v>752</v>
      </c>
      <c r="F120" s="17" t="s">
        <v>26</v>
      </c>
      <c r="G120" s="17" t="s">
        <v>222</v>
      </c>
      <c r="H120" s="26">
        <v>70</v>
      </c>
      <c r="M120" s="21"/>
      <c r="N120" s="13"/>
      <c r="O120" s="13"/>
      <c r="P120" s="13"/>
      <c r="Q120" s="14"/>
    </row>
    <row r="121" spans="1:17" ht="15.75" customHeight="1" x14ac:dyDescent="0.25">
      <c r="A121" s="15" t="s">
        <v>214</v>
      </c>
      <c r="B121" s="23" t="s">
        <v>62</v>
      </c>
      <c r="C121" s="25">
        <v>44232</v>
      </c>
      <c r="D121" s="15" t="s">
        <v>9</v>
      </c>
      <c r="E121" s="17">
        <v>752</v>
      </c>
      <c r="F121" s="17" t="s">
        <v>26</v>
      </c>
      <c r="G121" s="17" t="s">
        <v>223</v>
      </c>
      <c r="H121" s="26">
        <v>70</v>
      </c>
      <c r="M121" s="21"/>
      <c r="N121" s="13"/>
      <c r="O121" s="13"/>
      <c r="P121" s="13"/>
      <c r="Q121" s="14"/>
    </row>
    <row r="122" spans="1:17" ht="15.75" customHeight="1" x14ac:dyDescent="0.25">
      <c r="A122" s="15" t="s">
        <v>214</v>
      </c>
      <c r="B122" s="23" t="s">
        <v>62</v>
      </c>
      <c r="C122" s="25">
        <v>44232</v>
      </c>
      <c r="D122" s="15" t="s">
        <v>182</v>
      </c>
      <c r="E122" s="17">
        <v>752</v>
      </c>
      <c r="F122" s="17" t="s">
        <v>26</v>
      </c>
      <c r="G122" s="17" t="s">
        <v>72</v>
      </c>
      <c r="H122" s="26">
        <v>85</v>
      </c>
      <c r="M122" s="21"/>
      <c r="N122" s="13"/>
      <c r="O122" s="13"/>
      <c r="P122" s="13"/>
      <c r="Q122" s="14"/>
    </row>
    <row r="123" spans="1:17" ht="15.75" customHeight="1" x14ac:dyDescent="0.25">
      <c r="A123" s="15" t="s">
        <v>214</v>
      </c>
      <c r="B123" s="23" t="s">
        <v>62</v>
      </c>
      <c r="C123" s="25">
        <v>44233</v>
      </c>
      <c r="D123" s="15" t="s">
        <v>5</v>
      </c>
      <c r="E123" s="17">
        <v>512</v>
      </c>
      <c r="F123" s="17" t="s">
        <v>27</v>
      </c>
      <c r="G123" s="17" t="s">
        <v>224</v>
      </c>
      <c r="H123" s="26">
        <v>70</v>
      </c>
      <c r="M123" s="21"/>
      <c r="N123" s="13"/>
      <c r="O123" s="13"/>
      <c r="P123" s="13"/>
      <c r="Q123" s="14"/>
    </row>
    <row r="124" spans="1:17" ht="15.75" customHeight="1" x14ac:dyDescent="0.25">
      <c r="A124" s="15" t="s">
        <v>214</v>
      </c>
      <c r="B124" s="23" t="s">
        <v>62</v>
      </c>
      <c r="C124" s="25">
        <v>44233</v>
      </c>
      <c r="D124" s="15" t="s">
        <v>67</v>
      </c>
      <c r="E124" s="17">
        <v>512</v>
      </c>
      <c r="F124" s="17" t="s">
        <v>221</v>
      </c>
      <c r="G124" s="17" t="s">
        <v>225</v>
      </c>
      <c r="H124" s="26">
        <v>100</v>
      </c>
      <c r="I124" s="15"/>
      <c r="J124" s="15"/>
      <c r="M124" s="21"/>
      <c r="N124" s="13"/>
      <c r="O124" s="13"/>
      <c r="P124" s="13"/>
      <c r="Q124" s="14"/>
    </row>
    <row r="125" spans="1:17" ht="15.75" customHeight="1" x14ac:dyDescent="0.25">
      <c r="A125" s="15" t="s">
        <v>214</v>
      </c>
      <c r="B125" s="23" t="s">
        <v>62</v>
      </c>
      <c r="C125" s="25">
        <v>44229</v>
      </c>
      <c r="D125" s="15" t="s">
        <v>6</v>
      </c>
      <c r="E125" s="17" t="s">
        <v>226</v>
      </c>
      <c r="F125" s="17" t="s">
        <v>33</v>
      </c>
      <c r="G125" s="17" t="s">
        <v>227</v>
      </c>
      <c r="H125" s="26">
        <v>70</v>
      </c>
      <c r="M125" s="21"/>
      <c r="N125" s="13"/>
      <c r="O125" s="13"/>
      <c r="P125" s="13"/>
      <c r="Q125" s="14"/>
    </row>
    <row r="126" spans="1:17" ht="15.75" customHeight="1" x14ac:dyDescent="0.25">
      <c r="A126" s="15" t="s">
        <v>214</v>
      </c>
      <c r="B126" s="23" t="s">
        <v>62</v>
      </c>
      <c r="C126" s="25">
        <v>44137</v>
      </c>
      <c r="D126" s="15" t="s">
        <v>228</v>
      </c>
      <c r="E126" s="17" t="s">
        <v>229</v>
      </c>
      <c r="F126" s="17" t="s">
        <v>26</v>
      </c>
      <c r="G126" s="17" t="s">
        <v>120</v>
      </c>
      <c r="H126" s="26">
        <v>120</v>
      </c>
      <c r="M126" s="21"/>
      <c r="N126" s="13"/>
      <c r="O126" s="13"/>
      <c r="P126" s="13"/>
      <c r="Q126" s="14"/>
    </row>
    <row r="127" spans="1:17" ht="15.75" customHeight="1" x14ac:dyDescent="0.25">
      <c r="A127" s="15" t="s">
        <v>214</v>
      </c>
      <c r="B127" s="23" t="s">
        <v>62</v>
      </c>
      <c r="C127" s="25">
        <v>44229</v>
      </c>
      <c r="D127" s="15" t="s">
        <v>12</v>
      </c>
      <c r="E127" s="17">
        <v>245</v>
      </c>
      <c r="F127" s="17" t="s">
        <v>26</v>
      </c>
      <c r="G127" s="17" t="s">
        <v>220</v>
      </c>
      <c r="H127" s="26">
        <v>80</v>
      </c>
      <c r="M127" s="21"/>
      <c r="N127" s="13"/>
      <c r="O127" s="13"/>
      <c r="P127" s="13"/>
      <c r="Q127" s="14"/>
    </row>
    <row r="128" spans="1:17" ht="15.75" customHeight="1" x14ac:dyDescent="0.25">
      <c r="A128" s="15" t="s">
        <v>214</v>
      </c>
      <c r="B128" s="23" t="s">
        <v>62</v>
      </c>
      <c r="C128" s="17" t="s">
        <v>230</v>
      </c>
      <c r="D128" s="15" t="s">
        <v>129</v>
      </c>
      <c r="E128" s="17" t="s">
        <v>79</v>
      </c>
      <c r="F128" s="17" t="s">
        <v>80</v>
      </c>
      <c r="G128" s="17" t="s">
        <v>225</v>
      </c>
      <c r="H128" s="26">
        <v>510</v>
      </c>
      <c r="M128" s="21"/>
      <c r="N128" s="13"/>
      <c r="O128" s="13"/>
      <c r="P128" s="13"/>
      <c r="Q128" s="14"/>
    </row>
    <row r="129" spans="1:17" ht="15.75" customHeight="1" x14ac:dyDescent="0.25">
      <c r="A129" s="15" t="s">
        <v>214</v>
      </c>
      <c r="B129" s="23" t="s">
        <v>62</v>
      </c>
      <c r="C129" s="17" t="s">
        <v>230</v>
      </c>
      <c r="D129" s="15" t="s">
        <v>88</v>
      </c>
      <c r="E129" s="17" t="s">
        <v>79</v>
      </c>
      <c r="F129" s="17" t="s">
        <v>80</v>
      </c>
      <c r="G129" s="17" t="s">
        <v>231</v>
      </c>
      <c r="H129" s="26">
        <v>510</v>
      </c>
      <c r="M129" s="21"/>
      <c r="N129" s="13"/>
      <c r="O129" s="13"/>
      <c r="P129" s="13"/>
      <c r="Q129" s="14"/>
    </row>
    <row r="130" spans="1:17" ht="15.75" customHeight="1" x14ac:dyDescent="0.25">
      <c r="A130" s="15" t="s">
        <v>214</v>
      </c>
      <c r="B130" s="23" t="s">
        <v>62</v>
      </c>
      <c r="C130" s="17" t="s">
        <v>230</v>
      </c>
      <c r="D130" s="15" t="s">
        <v>232</v>
      </c>
      <c r="E130" s="17" t="s">
        <v>79</v>
      </c>
      <c r="F130" s="17" t="s">
        <v>80</v>
      </c>
      <c r="G130" s="17" t="s">
        <v>123</v>
      </c>
      <c r="H130" s="26">
        <v>510</v>
      </c>
      <c r="M130" s="21"/>
      <c r="N130" s="13"/>
      <c r="O130" s="13"/>
      <c r="P130" s="13"/>
      <c r="Q130" s="14"/>
    </row>
    <row r="131" spans="1:17" ht="15.75" customHeight="1" x14ac:dyDescent="0.25">
      <c r="A131" s="15" t="s">
        <v>214</v>
      </c>
      <c r="B131" s="23" t="s">
        <v>62</v>
      </c>
      <c r="C131" s="17" t="s">
        <v>230</v>
      </c>
      <c r="D131" s="15" t="s">
        <v>86</v>
      </c>
      <c r="E131" s="17" t="s">
        <v>79</v>
      </c>
      <c r="F131" s="17" t="s">
        <v>80</v>
      </c>
      <c r="G131" s="17" t="s">
        <v>111</v>
      </c>
      <c r="H131" s="26">
        <v>690</v>
      </c>
      <c r="M131" s="21"/>
      <c r="N131" s="13"/>
      <c r="O131" s="13"/>
      <c r="P131" s="13"/>
      <c r="Q131" s="14"/>
    </row>
    <row r="132" spans="1:17" ht="15.75" customHeight="1" x14ac:dyDescent="0.25">
      <c r="A132" s="15" t="s">
        <v>214</v>
      </c>
      <c r="B132" s="23" t="s">
        <v>62</v>
      </c>
      <c r="C132" s="25">
        <v>44233</v>
      </c>
      <c r="D132" s="15" t="s">
        <v>160</v>
      </c>
      <c r="E132" s="17" t="s">
        <v>126</v>
      </c>
      <c r="F132" s="18" t="s">
        <v>127</v>
      </c>
      <c r="G132" s="17" t="s">
        <v>111</v>
      </c>
      <c r="H132" s="26">
        <v>85</v>
      </c>
      <c r="M132" s="21"/>
      <c r="N132" s="13"/>
      <c r="O132" s="13"/>
      <c r="P132" s="13"/>
      <c r="Q132" s="14"/>
    </row>
    <row r="133" spans="1:17" ht="15.75" customHeight="1" x14ac:dyDescent="0.25">
      <c r="A133" s="15" t="s">
        <v>214</v>
      </c>
      <c r="B133" s="23" t="s">
        <v>62</v>
      </c>
      <c r="C133" s="17" t="s">
        <v>233</v>
      </c>
      <c r="D133" s="15" t="s">
        <v>234</v>
      </c>
      <c r="E133" s="17" t="s">
        <v>126</v>
      </c>
      <c r="F133" s="18" t="s">
        <v>127</v>
      </c>
      <c r="G133" s="17" t="s">
        <v>188</v>
      </c>
      <c r="H133" s="26">
        <v>170</v>
      </c>
      <c r="M133" s="21"/>
      <c r="N133" s="13"/>
      <c r="O133" s="13"/>
      <c r="P133" s="13"/>
      <c r="Q133" s="14"/>
    </row>
    <row r="134" spans="1:17" ht="15.75" customHeight="1" x14ac:dyDescent="0.25">
      <c r="A134" s="15" t="s">
        <v>214</v>
      </c>
      <c r="B134" s="23" t="s">
        <v>62</v>
      </c>
      <c r="C134" s="25">
        <v>44229</v>
      </c>
      <c r="D134" s="15" t="s">
        <v>160</v>
      </c>
      <c r="E134" s="17" t="s">
        <v>126</v>
      </c>
      <c r="F134" s="18" t="s">
        <v>127</v>
      </c>
      <c r="G134" s="17" t="s">
        <v>106</v>
      </c>
      <c r="H134" s="26">
        <v>85</v>
      </c>
      <c r="M134" s="21"/>
      <c r="N134" s="13"/>
      <c r="O134" s="13"/>
      <c r="P134" s="13"/>
      <c r="Q134" s="14"/>
    </row>
    <row r="135" spans="1:17" ht="15.75" customHeight="1" x14ac:dyDescent="0.25">
      <c r="A135" s="15" t="s">
        <v>214</v>
      </c>
      <c r="B135" s="23" t="s">
        <v>62</v>
      </c>
      <c r="C135" s="17" t="s">
        <v>235</v>
      </c>
      <c r="D135" s="15" t="s">
        <v>125</v>
      </c>
      <c r="E135" s="17" t="s">
        <v>126</v>
      </c>
      <c r="F135" s="18" t="s">
        <v>127</v>
      </c>
      <c r="G135" s="17" t="s">
        <v>236</v>
      </c>
      <c r="H135" s="26">
        <v>575</v>
      </c>
      <c r="M135" s="21"/>
      <c r="N135" s="13"/>
      <c r="O135" s="13"/>
      <c r="P135" s="13"/>
      <c r="Q135" s="14"/>
    </row>
    <row r="136" spans="1:17" ht="15.75" customHeight="1" x14ac:dyDescent="0.25">
      <c r="A136" s="15" t="s">
        <v>214</v>
      </c>
      <c r="B136" s="23" t="s">
        <v>62</v>
      </c>
      <c r="C136" s="25">
        <v>44233</v>
      </c>
      <c r="D136" s="15" t="s">
        <v>11</v>
      </c>
      <c r="E136" s="17" t="s">
        <v>126</v>
      </c>
      <c r="F136" s="18" t="s">
        <v>127</v>
      </c>
      <c r="G136" s="17" t="s">
        <v>110</v>
      </c>
      <c r="H136" s="26">
        <v>85</v>
      </c>
      <c r="M136" s="21"/>
      <c r="N136" s="13"/>
      <c r="O136" s="13"/>
      <c r="P136" s="13"/>
      <c r="Q136" s="14"/>
    </row>
    <row r="137" spans="1:17" ht="15.75" customHeight="1" x14ac:dyDescent="0.25">
      <c r="A137" s="15" t="s">
        <v>214</v>
      </c>
      <c r="B137" s="23" t="s">
        <v>62</v>
      </c>
      <c r="C137" s="17" t="s">
        <v>233</v>
      </c>
      <c r="D137" s="15" t="s">
        <v>237</v>
      </c>
      <c r="E137" s="17" t="s">
        <v>126</v>
      </c>
      <c r="F137" s="18" t="s">
        <v>127</v>
      </c>
      <c r="G137" s="17" t="s">
        <v>115</v>
      </c>
      <c r="H137" s="26">
        <v>170</v>
      </c>
      <c r="M137" s="21"/>
      <c r="N137" s="13"/>
      <c r="O137" s="13"/>
      <c r="P137" s="13"/>
      <c r="Q137" s="14"/>
    </row>
    <row r="138" spans="1:17" ht="15.75" customHeight="1" x14ac:dyDescent="0.25">
      <c r="A138" s="15" t="s">
        <v>214</v>
      </c>
      <c r="B138" s="23" t="s">
        <v>62</v>
      </c>
      <c r="C138" s="25">
        <v>44232</v>
      </c>
      <c r="D138" s="15" t="s">
        <v>238</v>
      </c>
      <c r="E138" s="17" t="s">
        <v>126</v>
      </c>
      <c r="F138" s="18" t="s">
        <v>127</v>
      </c>
      <c r="G138" s="17" t="s">
        <v>173</v>
      </c>
      <c r="H138" s="26">
        <v>85</v>
      </c>
      <c r="M138" s="21"/>
      <c r="N138" s="13"/>
      <c r="O138" s="13"/>
      <c r="P138" s="13"/>
      <c r="Q138" s="14"/>
    </row>
    <row r="139" spans="1:17" ht="15.75" customHeight="1" x14ac:dyDescent="0.25">
      <c r="A139" s="15" t="s">
        <v>214</v>
      </c>
      <c r="B139" s="23" t="s">
        <v>62</v>
      </c>
      <c r="C139" s="25">
        <v>44229</v>
      </c>
      <c r="D139" s="15" t="s">
        <v>9</v>
      </c>
      <c r="E139" s="17" t="s">
        <v>126</v>
      </c>
      <c r="F139" s="18" t="s">
        <v>127</v>
      </c>
      <c r="G139" s="17" t="s">
        <v>239</v>
      </c>
      <c r="H139" s="26">
        <v>85</v>
      </c>
      <c r="M139" s="21"/>
      <c r="N139" s="13"/>
      <c r="O139" s="13"/>
      <c r="P139" s="13"/>
      <c r="Q139" s="14"/>
    </row>
    <row r="140" spans="1:17" ht="15.75" customHeight="1" x14ac:dyDescent="0.25">
      <c r="A140" s="15" t="s">
        <v>240</v>
      </c>
      <c r="B140" s="23" t="s">
        <v>63</v>
      </c>
      <c r="C140" s="25">
        <v>44235</v>
      </c>
      <c r="D140" s="15" t="s">
        <v>6</v>
      </c>
      <c r="E140" s="17">
        <v>746</v>
      </c>
      <c r="F140" s="17" t="s">
        <v>33</v>
      </c>
      <c r="G140" s="17" t="s">
        <v>241</v>
      </c>
      <c r="H140" s="26">
        <v>70</v>
      </c>
      <c r="M140" s="21"/>
      <c r="N140" s="13"/>
      <c r="O140" s="13"/>
      <c r="P140" s="13"/>
      <c r="Q140" s="14"/>
    </row>
    <row r="141" spans="1:17" ht="15.75" customHeight="1" x14ac:dyDescent="0.25">
      <c r="A141" s="15" t="s">
        <v>240</v>
      </c>
      <c r="B141" s="23" t="s">
        <v>63</v>
      </c>
      <c r="C141" s="25">
        <v>44235</v>
      </c>
      <c r="D141" s="15" t="s">
        <v>8</v>
      </c>
      <c r="E141" s="17" t="s">
        <v>242</v>
      </c>
      <c r="F141" s="17" t="s">
        <v>34</v>
      </c>
      <c r="G141" s="17" t="s">
        <v>243</v>
      </c>
      <c r="H141" s="26">
        <v>110</v>
      </c>
      <c r="M141" s="21"/>
      <c r="N141" s="13"/>
      <c r="O141" s="13"/>
      <c r="P141" s="13"/>
      <c r="Q141" s="14"/>
    </row>
    <row r="142" spans="1:17" ht="15.75" customHeight="1" x14ac:dyDescent="0.25">
      <c r="A142" s="15" t="s">
        <v>244</v>
      </c>
      <c r="B142" s="23" t="s">
        <v>63</v>
      </c>
      <c r="C142" s="25">
        <v>44236</v>
      </c>
      <c r="D142" s="15" t="s">
        <v>6</v>
      </c>
      <c r="E142" s="17">
        <v>812</v>
      </c>
      <c r="F142" s="17" t="s">
        <v>33</v>
      </c>
      <c r="G142" s="17" t="s">
        <v>245</v>
      </c>
      <c r="H142" s="26">
        <v>70</v>
      </c>
      <c r="M142" s="21"/>
      <c r="N142" s="13"/>
      <c r="O142" s="13"/>
      <c r="P142" s="13"/>
      <c r="Q142" s="14"/>
    </row>
    <row r="143" spans="1:17" ht="15.75" customHeight="1" x14ac:dyDescent="0.25">
      <c r="A143" s="15" t="s">
        <v>244</v>
      </c>
      <c r="B143" s="23" t="s">
        <v>63</v>
      </c>
      <c r="C143" s="25">
        <v>44236</v>
      </c>
      <c r="D143" s="15" t="s">
        <v>9</v>
      </c>
      <c r="E143" s="17" t="s">
        <v>246</v>
      </c>
      <c r="F143" s="17" t="s">
        <v>27</v>
      </c>
      <c r="G143" s="17" t="s">
        <v>247</v>
      </c>
      <c r="H143" s="26">
        <v>80</v>
      </c>
      <c r="M143" s="21"/>
      <c r="N143" s="13"/>
      <c r="O143" s="13"/>
      <c r="P143" s="13"/>
      <c r="Q143" s="14"/>
    </row>
    <row r="144" spans="1:17" ht="15.75" customHeight="1" x14ac:dyDescent="0.25">
      <c r="A144" s="15" t="s">
        <v>244</v>
      </c>
      <c r="B144" s="23" t="s">
        <v>63</v>
      </c>
      <c r="C144" s="25">
        <v>44236</v>
      </c>
      <c r="D144" s="15" t="s">
        <v>67</v>
      </c>
      <c r="E144" s="17" t="s">
        <v>246</v>
      </c>
      <c r="F144" s="17" t="s">
        <v>221</v>
      </c>
      <c r="G144" s="17" t="s">
        <v>248</v>
      </c>
      <c r="H144" s="26">
        <v>85</v>
      </c>
      <c r="I144" s="15"/>
      <c r="J144" s="15"/>
      <c r="M144" s="21"/>
      <c r="N144" s="13"/>
      <c r="O144" s="13"/>
      <c r="P144" s="13"/>
      <c r="Q144" s="14"/>
    </row>
    <row r="145" spans="1:17" ht="15.75" customHeight="1" x14ac:dyDescent="0.25">
      <c r="A145" s="15" t="s">
        <v>244</v>
      </c>
      <c r="B145" s="23" t="s">
        <v>63</v>
      </c>
      <c r="C145" s="25">
        <v>44237</v>
      </c>
      <c r="D145" s="15" t="s">
        <v>6</v>
      </c>
      <c r="E145" s="17">
        <v>768</v>
      </c>
      <c r="F145" s="17" t="s">
        <v>33</v>
      </c>
      <c r="G145" s="17" t="s">
        <v>249</v>
      </c>
      <c r="H145" s="26">
        <v>70</v>
      </c>
      <c r="M145" s="21"/>
      <c r="N145" s="13"/>
      <c r="O145" s="13"/>
      <c r="P145" s="13"/>
      <c r="Q145" s="14"/>
    </row>
    <row r="146" spans="1:17" ht="15.75" customHeight="1" x14ac:dyDescent="0.25">
      <c r="A146" s="15" t="s">
        <v>244</v>
      </c>
      <c r="B146" s="23" t="s">
        <v>63</v>
      </c>
      <c r="C146" s="25">
        <v>44237</v>
      </c>
      <c r="D146" s="15" t="s">
        <v>5</v>
      </c>
      <c r="E146" s="17">
        <v>624</v>
      </c>
      <c r="F146" s="17" t="s">
        <v>27</v>
      </c>
      <c r="G146" s="17" t="s">
        <v>250</v>
      </c>
      <c r="H146" s="26">
        <v>70</v>
      </c>
      <c r="M146" s="21"/>
      <c r="N146" s="13"/>
      <c r="O146" s="13"/>
      <c r="P146" s="13"/>
      <c r="Q146" s="14"/>
    </row>
    <row r="147" spans="1:17" ht="15.75" customHeight="1" x14ac:dyDescent="0.25">
      <c r="A147" s="15" t="s">
        <v>244</v>
      </c>
      <c r="B147" s="23" t="s">
        <v>63</v>
      </c>
      <c r="C147" s="25">
        <v>44237</v>
      </c>
      <c r="D147" s="15" t="s">
        <v>67</v>
      </c>
      <c r="E147" s="17">
        <v>624</v>
      </c>
      <c r="F147" s="17" t="s">
        <v>221</v>
      </c>
      <c r="G147" s="17" t="s">
        <v>251</v>
      </c>
      <c r="H147" s="26">
        <v>85</v>
      </c>
      <c r="I147" s="15"/>
      <c r="J147" s="15"/>
      <c r="M147" s="21"/>
      <c r="N147" s="13"/>
      <c r="O147" s="13"/>
      <c r="P147" s="13"/>
      <c r="Q147" s="14"/>
    </row>
    <row r="148" spans="1:17" ht="15.75" customHeight="1" x14ac:dyDescent="0.25">
      <c r="A148" s="15" t="s">
        <v>244</v>
      </c>
      <c r="B148" s="23" t="s">
        <v>63</v>
      </c>
      <c r="C148" s="25">
        <v>44238</v>
      </c>
      <c r="D148" s="15" t="s">
        <v>6</v>
      </c>
      <c r="E148" s="17">
        <v>916</v>
      </c>
      <c r="F148" s="17" t="s">
        <v>33</v>
      </c>
      <c r="G148" s="17" t="s">
        <v>252</v>
      </c>
      <c r="H148" s="26">
        <v>70</v>
      </c>
      <c r="M148" s="21"/>
      <c r="N148" s="13"/>
      <c r="O148" s="13"/>
      <c r="P148" s="13"/>
      <c r="Q148" s="14"/>
    </row>
    <row r="149" spans="1:17" ht="15.75" customHeight="1" x14ac:dyDescent="0.25">
      <c r="A149" s="15" t="s">
        <v>244</v>
      </c>
      <c r="B149" s="23" t="s">
        <v>63</v>
      </c>
      <c r="C149" s="25">
        <v>44238</v>
      </c>
      <c r="D149" s="15" t="s">
        <v>6</v>
      </c>
      <c r="E149" s="17">
        <v>733</v>
      </c>
      <c r="F149" s="17" t="s">
        <v>27</v>
      </c>
      <c r="G149" s="17" t="s">
        <v>253</v>
      </c>
      <c r="H149" s="26">
        <v>70</v>
      </c>
      <c r="M149" s="21"/>
      <c r="N149" s="13"/>
      <c r="O149" s="13"/>
      <c r="P149" s="13"/>
      <c r="Q149" s="14"/>
    </row>
    <row r="150" spans="1:17" ht="15.75" customHeight="1" x14ac:dyDescent="0.25">
      <c r="A150" s="15" t="s">
        <v>244</v>
      </c>
      <c r="B150" s="23" t="s">
        <v>63</v>
      </c>
      <c r="C150" s="25">
        <v>44238</v>
      </c>
      <c r="D150" s="15" t="s">
        <v>5</v>
      </c>
      <c r="E150" s="17">
        <v>855</v>
      </c>
      <c r="F150" s="17" t="s">
        <v>33</v>
      </c>
      <c r="G150" s="17" t="s">
        <v>254</v>
      </c>
      <c r="H150" s="26">
        <v>70</v>
      </c>
      <c r="M150" s="21"/>
      <c r="N150" s="13"/>
      <c r="O150" s="13"/>
      <c r="P150" s="13"/>
      <c r="Q150" s="14"/>
    </row>
    <row r="151" spans="1:17" ht="15.75" customHeight="1" x14ac:dyDescent="0.25">
      <c r="A151" s="15" t="s">
        <v>244</v>
      </c>
      <c r="B151" s="23" t="s">
        <v>63</v>
      </c>
      <c r="C151" s="25">
        <v>44239</v>
      </c>
      <c r="D151" s="15" t="s">
        <v>5</v>
      </c>
      <c r="E151" s="17">
        <v>969</v>
      </c>
      <c r="F151" s="17" t="s">
        <v>33</v>
      </c>
      <c r="G151" s="17" t="s">
        <v>255</v>
      </c>
      <c r="H151" s="26">
        <v>70</v>
      </c>
      <c r="M151" s="21"/>
      <c r="N151" s="13"/>
      <c r="O151" s="13"/>
      <c r="P151" s="13"/>
      <c r="Q151" s="14"/>
    </row>
    <row r="152" spans="1:17" ht="15.75" customHeight="1" x14ac:dyDescent="0.25">
      <c r="A152" s="15" t="s">
        <v>244</v>
      </c>
      <c r="B152" s="23" t="s">
        <v>63</v>
      </c>
      <c r="C152" s="25">
        <v>44239</v>
      </c>
      <c r="D152" s="15" t="s">
        <v>9</v>
      </c>
      <c r="E152" s="17">
        <v>969</v>
      </c>
      <c r="F152" s="17" t="s">
        <v>33</v>
      </c>
      <c r="G152" s="17" t="s">
        <v>256</v>
      </c>
      <c r="H152" s="26">
        <v>70</v>
      </c>
      <c r="M152" s="21"/>
      <c r="N152" s="13"/>
      <c r="O152" s="13"/>
      <c r="P152" s="13"/>
      <c r="Q152" s="14"/>
    </row>
    <row r="153" spans="1:17" ht="15.75" customHeight="1" x14ac:dyDescent="0.25">
      <c r="A153" s="15" t="s">
        <v>244</v>
      </c>
      <c r="B153" s="23" t="s">
        <v>63</v>
      </c>
      <c r="C153" s="25">
        <v>44239</v>
      </c>
      <c r="D153" s="15" t="s">
        <v>6</v>
      </c>
      <c r="E153" s="17">
        <v>414</v>
      </c>
      <c r="F153" s="17" t="s">
        <v>27</v>
      </c>
      <c r="G153" s="17" t="s">
        <v>257</v>
      </c>
      <c r="H153" s="26">
        <v>70</v>
      </c>
      <c r="M153" s="21"/>
      <c r="N153" s="13"/>
      <c r="O153" s="13"/>
      <c r="P153" s="13"/>
      <c r="Q153" s="14"/>
    </row>
    <row r="154" spans="1:17" ht="15.75" customHeight="1" x14ac:dyDescent="0.25">
      <c r="A154" s="15" t="s">
        <v>244</v>
      </c>
      <c r="B154" s="23" t="s">
        <v>63</v>
      </c>
      <c r="C154" s="25">
        <v>44239</v>
      </c>
      <c r="D154" s="15" t="s">
        <v>6</v>
      </c>
      <c r="E154" s="17">
        <v>465</v>
      </c>
      <c r="F154" s="17" t="s">
        <v>39</v>
      </c>
      <c r="G154" s="17" t="s">
        <v>258</v>
      </c>
      <c r="H154" s="26">
        <v>70</v>
      </c>
      <c r="M154" s="21"/>
      <c r="N154" s="13"/>
      <c r="O154" s="13"/>
      <c r="P154" s="13"/>
      <c r="Q154" s="14"/>
    </row>
    <row r="155" spans="1:17" ht="15.75" customHeight="1" x14ac:dyDescent="0.25">
      <c r="A155" s="15" t="s">
        <v>244</v>
      </c>
      <c r="B155" s="23" t="s">
        <v>63</v>
      </c>
      <c r="C155" s="25">
        <v>44236</v>
      </c>
      <c r="D155" s="15" t="s">
        <v>6</v>
      </c>
      <c r="E155" s="17" t="s">
        <v>259</v>
      </c>
      <c r="F155" s="17" t="s">
        <v>33</v>
      </c>
      <c r="G155" s="17" t="s">
        <v>260</v>
      </c>
      <c r="H155" s="26">
        <v>70</v>
      </c>
      <c r="M155" s="21"/>
      <c r="N155" s="13"/>
      <c r="O155" s="13"/>
      <c r="P155" s="13"/>
      <c r="Q155" s="14"/>
    </row>
    <row r="156" spans="1:17" ht="15.75" customHeight="1" x14ac:dyDescent="0.25">
      <c r="A156" s="15" t="s">
        <v>244</v>
      </c>
      <c r="B156" s="23" t="s">
        <v>63</v>
      </c>
      <c r="C156" s="17" t="s">
        <v>261</v>
      </c>
      <c r="D156" s="15" t="s">
        <v>129</v>
      </c>
      <c r="E156" s="17" t="s">
        <v>79</v>
      </c>
      <c r="F156" s="17" t="s">
        <v>80</v>
      </c>
      <c r="G156" s="17" t="s">
        <v>248</v>
      </c>
      <c r="H156" s="26">
        <v>510</v>
      </c>
      <c r="M156" s="21"/>
      <c r="N156" s="13"/>
      <c r="O156" s="13"/>
      <c r="P156" s="13"/>
      <c r="Q156" s="14"/>
    </row>
    <row r="157" spans="1:17" ht="15.75" customHeight="1" x14ac:dyDescent="0.25">
      <c r="A157" s="15" t="s">
        <v>244</v>
      </c>
      <c r="B157" s="23" t="s">
        <v>63</v>
      </c>
      <c r="C157" s="17" t="s">
        <v>261</v>
      </c>
      <c r="D157" s="15" t="s">
        <v>88</v>
      </c>
      <c r="E157" s="17" t="s">
        <v>79</v>
      </c>
      <c r="F157" s="17" t="s">
        <v>80</v>
      </c>
      <c r="G157" s="17" t="s">
        <v>262</v>
      </c>
      <c r="H157" s="26">
        <v>510</v>
      </c>
      <c r="M157" s="21"/>
      <c r="N157" s="13"/>
      <c r="O157" s="13"/>
      <c r="P157" s="13"/>
      <c r="Q157" s="14"/>
    </row>
    <row r="158" spans="1:17" ht="15.75" customHeight="1" x14ac:dyDescent="0.25">
      <c r="A158" s="15" t="s">
        <v>244</v>
      </c>
      <c r="B158" s="23" t="s">
        <v>63</v>
      </c>
      <c r="C158" s="17" t="s">
        <v>261</v>
      </c>
      <c r="D158" s="15" t="s">
        <v>232</v>
      </c>
      <c r="E158" s="17" t="s">
        <v>79</v>
      </c>
      <c r="F158" s="17" t="s">
        <v>80</v>
      </c>
      <c r="G158" s="17" t="s">
        <v>100</v>
      </c>
      <c r="H158" s="26">
        <v>510</v>
      </c>
      <c r="M158" s="21"/>
      <c r="N158" s="13"/>
      <c r="O158" s="13"/>
      <c r="P158" s="13"/>
      <c r="Q158" s="14"/>
    </row>
    <row r="159" spans="1:17" ht="15.75" customHeight="1" x14ac:dyDescent="0.25">
      <c r="A159" s="15" t="s">
        <v>244</v>
      </c>
      <c r="B159" s="23" t="s">
        <v>63</v>
      </c>
      <c r="C159" s="17" t="s">
        <v>261</v>
      </c>
      <c r="D159" s="15" t="s">
        <v>86</v>
      </c>
      <c r="E159" s="17" t="s">
        <v>79</v>
      </c>
      <c r="F159" s="17" t="s">
        <v>80</v>
      </c>
      <c r="G159" s="17" t="s">
        <v>115</v>
      </c>
      <c r="H159" s="26">
        <v>690</v>
      </c>
      <c r="M159" s="21"/>
      <c r="N159" s="13"/>
      <c r="O159" s="13"/>
      <c r="P159" s="13"/>
      <c r="Q159" s="14"/>
    </row>
    <row r="160" spans="1:17" ht="15.75" customHeight="1" x14ac:dyDescent="0.25">
      <c r="A160" s="15" t="s">
        <v>244</v>
      </c>
      <c r="B160" s="23" t="s">
        <v>63</v>
      </c>
      <c r="C160" s="17" t="s">
        <v>263</v>
      </c>
      <c r="D160" s="15" t="s">
        <v>125</v>
      </c>
      <c r="E160" s="17" t="s">
        <v>126</v>
      </c>
      <c r="F160" s="18" t="s">
        <v>127</v>
      </c>
      <c r="G160" s="17" t="s">
        <v>161</v>
      </c>
      <c r="H160" s="26">
        <v>230</v>
      </c>
      <c r="M160" s="21"/>
      <c r="N160" s="13"/>
      <c r="O160" s="13"/>
      <c r="P160" s="13"/>
      <c r="Q160" s="14"/>
    </row>
    <row r="161" spans="1:17" ht="15.75" customHeight="1" x14ac:dyDescent="0.25">
      <c r="A161" s="15" t="s">
        <v>244</v>
      </c>
      <c r="B161" s="23" t="s">
        <v>63</v>
      </c>
      <c r="C161" s="17" t="s">
        <v>264</v>
      </c>
      <c r="D161" s="15" t="s">
        <v>238</v>
      </c>
      <c r="E161" s="17" t="s">
        <v>126</v>
      </c>
      <c r="F161" s="18" t="s">
        <v>127</v>
      </c>
      <c r="G161" s="17" t="s">
        <v>225</v>
      </c>
      <c r="H161" s="26">
        <v>255</v>
      </c>
      <c r="M161" s="21"/>
      <c r="N161" s="13"/>
      <c r="O161" s="13"/>
      <c r="P161" s="13"/>
      <c r="Q161" s="14"/>
    </row>
    <row r="162" spans="1:17" ht="15.75" customHeight="1" x14ac:dyDescent="0.25">
      <c r="A162" s="15" t="s">
        <v>244</v>
      </c>
      <c r="B162" s="23" t="s">
        <v>63</v>
      </c>
      <c r="C162" s="17" t="s">
        <v>264</v>
      </c>
      <c r="D162" s="15" t="s">
        <v>234</v>
      </c>
      <c r="E162" s="17" t="s">
        <v>126</v>
      </c>
      <c r="F162" s="18" t="s">
        <v>127</v>
      </c>
      <c r="G162" s="17" t="s">
        <v>135</v>
      </c>
      <c r="H162" s="26">
        <v>255</v>
      </c>
      <c r="M162" s="21"/>
      <c r="N162" s="13"/>
      <c r="O162" s="13"/>
      <c r="P162" s="13"/>
      <c r="Q162" s="14"/>
    </row>
    <row r="163" spans="1:17" ht="15.75" customHeight="1" x14ac:dyDescent="0.25">
      <c r="A163" s="15" t="s">
        <v>244</v>
      </c>
      <c r="B163" s="23" t="s">
        <v>63</v>
      </c>
      <c r="C163" s="17" t="s">
        <v>264</v>
      </c>
      <c r="D163" s="15" t="s">
        <v>237</v>
      </c>
      <c r="E163" s="17" t="s">
        <v>126</v>
      </c>
      <c r="F163" s="18" t="s">
        <v>127</v>
      </c>
      <c r="G163" s="17" t="s">
        <v>158</v>
      </c>
      <c r="H163" s="26">
        <v>255</v>
      </c>
      <c r="M163" s="21"/>
      <c r="N163" s="13"/>
      <c r="O163" s="13"/>
      <c r="P163" s="13"/>
      <c r="Q163" s="14"/>
    </row>
    <row r="164" spans="1:17" ht="15.75" customHeight="1" x14ac:dyDescent="0.25">
      <c r="A164" s="15" t="s">
        <v>244</v>
      </c>
      <c r="B164" s="23" t="s">
        <v>63</v>
      </c>
      <c r="C164" s="17" t="s">
        <v>265</v>
      </c>
      <c r="D164" s="15" t="s">
        <v>160</v>
      </c>
      <c r="E164" s="17" t="s">
        <v>126</v>
      </c>
      <c r="F164" s="18" t="s">
        <v>127</v>
      </c>
      <c r="G164" s="17" t="s">
        <v>115</v>
      </c>
      <c r="H164" s="26">
        <v>170</v>
      </c>
      <c r="M164" s="21"/>
      <c r="N164" s="13"/>
      <c r="O164" s="13"/>
      <c r="P164" s="13"/>
      <c r="Q164" s="14"/>
    </row>
    <row r="165" spans="1:17" ht="15.75" customHeight="1" x14ac:dyDescent="0.25">
      <c r="A165" s="15" t="s">
        <v>266</v>
      </c>
      <c r="B165" s="23" t="s">
        <v>64</v>
      </c>
      <c r="C165" s="25">
        <v>44242</v>
      </c>
      <c r="D165" s="15" t="s">
        <v>12</v>
      </c>
      <c r="E165" s="17">
        <v>1019</v>
      </c>
      <c r="F165" s="17" t="s">
        <v>26</v>
      </c>
      <c r="G165" s="17" t="s">
        <v>224</v>
      </c>
      <c r="H165" s="26">
        <v>130</v>
      </c>
      <c r="M165" s="21"/>
      <c r="N165" s="13"/>
      <c r="O165" s="13"/>
      <c r="P165" s="13"/>
      <c r="Q165" s="14"/>
    </row>
    <row r="166" spans="1:17" ht="15.75" customHeight="1" x14ac:dyDescent="0.25">
      <c r="A166" s="15" t="s">
        <v>266</v>
      </c>
      <c r="B166" s="23" t="s">
        <v>64</v>
      </c>
      <c r="C166" s="25">
        <v>44243</v>
      </c>
      <c r="D166" s="15" t="s">
        <v>12</v>
      </c>
      <c r="E166" s="17">
        <v>1020</v>
      </c>
      <c r="F166" s="17" t="s">
        <v>26</v>
      </c>
      <c r="G166" s="17" t="s">
        <v>250</v>
      </c>
      <c r="H166" s="26">
        <v>130</v>
      </c>
      <c r="M166" s="21"/>
      <c r="N166" s="13"/>
      <c r="O166" s="13"/>
      <c r="P166" s="13"/>
      <c r="Q166" s="14"/>
    </row>
    <row r="167" spans="1:17" ht="15.75" customHeight="1" x14ac:dyDescent="0.25">
      <c r="A167" s="15" t="s">
        <v>266</v>
      </c>
      <c r="B167" s="23" t="s">
        <v>64</v>
      </c>
      <c r="C167" s="25">
        <v>44243</v>
      </c>
      <c r="D167" s="15" t="s">
        <v>5</v>
      </c>
      <c r="E167" s="17">
        <v>994</v>
      </c>
      <c r="F167" s="17" t="s">
        <v>33</v>
      </c>
      <c r="G167" s="17" t="s">
        <v>267</v>
      </c>
      <c r="H167" s="26">
        <v>70</v>
      </c>
      <c r="M167" s="21"/>
      <c r="N167" s="13"/>
      <c r="O167" s="13"/>
      <c r="P167" s="13"/>
      <c r="Q167" s="14"/>
    </row>
    <row r="168" spans="1:17" ht="15.75" customHeight="1" x14ac:dyDescent="0.25">
      <c r="A168" s="15" t="s">
        <v>266</v>
      </c>
      <c r="B168" s="23" t="s">
        <v>64</v>
      </c>
      <c r="C168" s="25">
        <v>44243</v>
      </c>
      <c r="D168" s="15" t="s">
        <v>6</v>
      </c>
      <c r="E168" s="17">
        <v>1041</v>
      </c>
      <c r="F168" s="17" t="s">
        <v>27</v>
      </c>
      <c r="G168" s="17" t="s">
        <v>268</v>
      </c>
      <c r="H168" s="26">
        <v>70</v>
      </c>
      <c r="M168" s="21"/>
      <c r="N168" s="13"/>
      <c r="O168" s="13"/>
      <c r="P168" s="13"/>
      <c r="Q168" s="14"/>
    </row>
    <row r="169" spans="1:17" ht="15.75" customHeight="1" x14ac:dyDescent="0.25">
      <c r="A169" s="15" t="s">
        <v>266</v>
      </c>
      <c r="B169" s="23" t="s">
        <v>64</v>
      </c>
      <c r="C169" s="25">
        <v>44244</v>
      </c>
      <c r="D169" s="15" t="s">
        <v>269</v>
      </c>
      <c r="E169" s="17" t="s">
        <v>270</v>
      </c>
      <c r="F169" s="17" t="s">
        <v>33</v>
      </c>
      <c r="G169" s="17" t="s">
        <v>262</v>
      </c>
      <c r="H169" s="26">
        <v>70</v>
      </c>
      <c r="M169" s="21"/>
      <c r="N169" s="13"/>
      <c r="O169" s="13"/>
      <c r="P169" s="13"/>
      <c r="Q169" s="14"/>
    </row>
    <row r="170" spans="1:17" ht="15.75" customHeight="1" x14ac:dyDescent="0.25">
      <c r="A170" s="15" t="s">
        <v>266</v>
      </c>
      <c r="B170" s="23" t="s">
        <v>64</v>
      </c>
      <c r="C170" s="25">
        <v>44244</v>
      </c>
      <c r="D170" s="15" t="s">
        <v>6</v>
      </c>
      <c r="E170" s="17" t="s">
        <v>270</v>
      </c>
      <c r="F170" s="17" t="s">
        <v>33</v>
      </c>
      <c r="G170" s="17" t="s">
        <v>271</v>
      </c>
      <c r="H170" s="26">
        <v>80</v>
      </c>
      <c r="M170" s="21"/>
      <c r="N170" s="13"/>
      <c r="O170" s="13"/>
      <c r="P170" s="13"/>
      <c r="Q170" s="14"/>
    </row>
    <row r="171" spans="1:17" ht="15.75" customHeight="1" x14ac:dyDescent="0.25">
      <c r="A171" s="15" t="s">
        <v>266</v>
      </c>
      <c r="B171" s="23" t="s">
        <v>64</v>
      </c>
      <c r="C171" s="25">
        <v>44244</v>
      </c>
      <c r="D171" s="15" t="s">
        <v>5</v>
      </c>
      <c r="E171" s="17">
        <v>516</v>
      </c>
      <c r="F171" s="17" t="s">
        <v>27</v>
      </c>
      <c r="G171" s="17" t="s">
        <v>272</v>
      </c>
      <c r="H171" s="26">
        <v>70</v>
      </c>
      <c r="M171" s="21"/>
      <c r="N171" s="13"/>
      <c r="O171" s="13"/>
      <c r="P171" s="13"/>
      <c r="Q171" s="14"/>
    </row>
    <row r="172" spans="1:17" ht="15.75" customHeight="1" x14ac:dyDescent="0.25">
      <c r="A172" s="15" t="s">
        <v>266</v>
      </c>
      <c r="B172" s="23" t="s">
        <v>64</v>
      </c>
      <c r="C172" s="25">
        <v>44244</v>
      </c>
      <c r="D172" s="15" t="s">
        <v>67</v>
      </c>
      <c r="E172" s="17" t="s">
        <v>270</v>
      </c>
      <c r="F172" s="17" t="s">
        <v>221</v>
      </c>
      <c r="G172" s="17" t="s">
        <v>128</v>
      </c>
      <c r="H172" s="26">
        <v>85</v>
      </c>
      <c r="I172" s="15"/>
      <c r="J172" s="15"/>
      <c r="M172" s="21"/>
      <c r="N172" s="13"/>
      <c r="O172" s="13"/>
      <c r="P172" s="13"/>
      <c r="Q172" s="14"/>
    </row>
    <row r="173" spans="1:17" ht="15.75" customHeight="1" x14ac:dyDescent="0.25">
      <c r="A173" s="15" t="s">
        <v>266</v>
      </c>
      <c r="B173" s="23" t="s">
        <v>64</v>
      </c>
      <c r="C173" s="25">
        <v>44245</v>
      </c>
      <c r="D173" s="15" t="s">
        <v>8</v>
      </c>
      <c r="E173" s="17">
        <v>1126</v>
      </c>
      <c r="F173" s="17" t="s">
        <v>33</v>
      </c>
      <c r="G173" s="17" t="s">
        <v>273</v>
      </c>
      <c r="H173" s="26">
        <v>91</v>
      </c>
      <c r="M173" s="21"/>
      <c r="N173" s="13"/>
      <c r="O173" s="13"/>
      <c r="P173" s="13"/>
      <c r="Q173" s="14"/>
    </row>
    <row r="174" spans="1:17" ht="15.75" customHeight="1" x14ac:dyDescent="0.25">
      <c r="A174" s="15" t="s">
        <v>266</v>
      </c>
      <c r="B174" s="23" t="s">
        <v>64</v>
      </c>
      <c r="C174" s="25">
        <v>44245</v>
      </c>
      <c r="D174" s="15" t="s">
        <v>67</v>
      </c>
      <c r="E174" s="17" t="s">
        <v>274</v>
      </c>
      <c r="F174" s="17" t="s">
        <v>221</v>
      </c>
      <c r="G174" s="17" t="s">
        <v>172</v>
      </c>
      <c r="H174" s="26">
        <v>85</v>
      </c>
      <c r="I174" s="15"/>
      <c r="J174" s="15"/>
      <c r="M174" s="21"/>
      <c r="N174" s="13"/>
      <c r="O174" s="13"/>
      <c r="P174" s="13"/>
      <c r="Q174" s="14"/>
    </row>
    <row r="175" spans="1:17" ht="15.75" customHeight="1" x14ac:dyDescent="0.25">
      <c r="A175" s="15" t="s">
        <v>266</v>
      </c>
      <c r="B175" s="23" t="s">
        <v>64</v>
      </c>
      <c r="C175" s="25">
        <v>44245</v>
      </c>
      <c r="D175" s="15" t="s">
        <v>6</v>
      </c>
      <c r="E175" s="17">
        <v>1121</v>
      </c>
      <c r="F175" s="17" t="s">
        <v>33</v>
      </c>
      <c r="G175" s="17" t="s">
        <v>275</v>
      </c>
      <c r="H175" s="26">
        <v>70</v>
      </c>
      <c r="M175" s="21"/>
      <c r="N175" s="13"/>
      <c r="O175" s="13"/>
      <c r="P175" s="13"/>
      <c r="Q175" s="14"/>
    </row>
    <row r="176" spans="1:17" ht="15.75" customHeight="1" x14ac:dyDescent="0.25">
      <c r="A176" s="15" t="s">
        <v>266</v>
      </c>
      <c r="B176" s="23" t="s">
        <v>64</v>
      </c>
      <c r="C176" s="25">
        <v>44245</v>
      </c>
      <c r="D176" s="15" t="s">
        <v>269</v>
      </c>
      <c r="E176" s="17" t="s">
        <v>274</v>
      </c>
      <c r="F176" s="17" t="s">
        <v>33</v>
      </c>
      <c r="G176" s="17" t="s">
        <v>276</v>
      </c>
      <c r="H176" s="26">
        <v>70</v>
      </c>
      <c r="M176" s="21"/>
      <c r="N176" s="13"/>
      <c r="O176" s="13"/>
      <c r="P176" s="13"/>
      <c r="Q176" s="14"/>
    </row>
    <row r="177" spans="1:17" ht="15.75" customHeight="1" x14ac:dyDescent="0.25">
      <c r="A177" s="15" t="s">
        <v>266</v>
      </c>
      <c r="B177" s="23" t="s">
        <v>64</v>
      </c>
      <c r="C177" s="25">
        <v>44245</v>
      </c>
      <c r="D177" s="15" t="s">
        <v>5</v>
      </c>
      <c r="E177" s="17" t="s">
        <v>274</v>
      </c>
      <c r="F177" s="17" t="s">
        <v>33</v>
      </c>
      <c r="G177" s="17" t="s">
        <v>277</v>
      </c>
      <c r="H177" s="26">
        <v>70</v>
      </c>
      <c r="M177" s="21"/>
      <c r="N177" s="13"/>
      <c r="O177" s="13"/>
      <c r="P177" s="13"/>
      <c r="Q177" s="14"/>
    </row>
    <row r="178" spans="1:17" ht="15.75" customHeight="1" x14ac:dyDescent="0.25">
      <c r="A178" s="15" t="s">
        <v>266</v>
      </c>
      <c r="B178" s="23" t="s">
        <v>64</v>
      </c>
      <c r="C178" s="25">
        <v>44246</v>
      </c>
      <c r="D178" s="15" t="s">
        <v>269</v>
      </c>
      <c r="E178" s="17" t="s">
        <v>278</v>
      </c>
      <c r="F178" s="17" t="s">
        <v>33</v>
      </c>
      <c r="G178" s="17" t="s">
        <v>279</v>
      </c>
      <c r="H178" s="26">
        <v>70</v>
      </c>
      <c r="M178" s="21"/>
      <c r="N178" s="13"/>
      <c r="O178" s="13"/>
      <c r="P178" s="13"/>
      <c r="Q178" s="14"/>
    </row>
    <row r="179" spans="1:17" ht="15.75" customHeight="1" x14ac:dyDescent="0.25">
      <c r="A179" s="15" t="s">
        <v>266</v>
      </c>
      <c r="B179" s="23" t="s">
        <v>64</v>
      </c>
      <c r="C179" s="25">
        <v>44246</v>
      </c>
      <c r="D179" s="15" t="s">
        <v>67</v>
      </c>
      <c r="E179" s="17" t="s">
        <v>278</v>
      </c>
      <c r="F179" s="17" t="s">
        <v>221</v>
      </c>
      <c r="G179" s="17" t="s">
        <v>236</v>
      </c>
      <c r="H179" s="26">
        <v>85</v>
      </c>
      <c r="I179" s="15"/>
      <c r="J179" s="15"/>
      <c r="M179" s="21"/>
      <c r="N179" s="13"/>
      <c r="O179" s="13"/>
      <c r="P179" s="13"/>
      <c r="Q179" s="14"/>
    </row>
    <row r="180" spans="1:17" ht="15.75" customHeight="1" x14ac:dyDescent="0.25">
      <c r="A180" s="15" t="s">
        <v>266</v>
      </c>
      <c r="B180" s="23" t="s">
        <v>64</v>
      </c>
      <c r="C180" s="25">
        <v>44246</v>
      </c>
      <c r="D180" s="15" t="s">
        <v>6</v>
      </c>
      <c r="E180" s="17" t="s">
        <v>278</v>
      </c>
      <c r="F180" s="17" t="s">
        <v>33</v>
      </c>
      <c r="G180" s="17" t="s">
        <v>280</v>
      </c>
      <c r="H180" s="26">
        <v>80</v>
      </c>
      <c r="M180" s="21"/>
      <c r="N180" s="13"/>
      <c r="O180" s="13"/>
      <c r="P180" s="13"/>
      <c r="Q180" s="14"/>
    </row>
    <row r="181" spans="1:17" ht="15.75" customHeight="1" x14ac:dyDescent="0.25">
      <c r="A181" s="15" t="s">
        <v>266</v>
      </c>
      <c r="B181" s="23" t="s">
        <v>64</v>
      </c>
      <c r="C181" s="25">
        <v>44246</v>
      </c>
      <c r="D181" s="15" t="s">
        <v>5</v>
      </c>
      <c r="E181" s="17">
        <v>1167</v>
      </c>
      <c r="F181" s="17" t="s">
        <v>27</v>
      </c>
      <c r="G181" s="17" t="s">
        <v>281</v>
      </c>
      <c r="H181" s="26">
        <v>70</v>
      </c>
      <c r="M181" s="21"/>
      <c r="N181" s="13"/>
      <c r="O181" s="13"/>
      <c r="P181" s="13"/>
      <c r="Q181" s="14"/>
    </row>
    <row r="182" spans="1:17" ht="15.75" customHeight="1" x14ac:dyDescent="0.25">
      <c r="A182" s="15" t="s">
        <v>266</v>
      </c>
      <c r="B182" s="23" t="s">
        <v>64</v>
      </c>
      <c r="C182" s="25">
        <v>44247</v>
      </c>
      <c r="D182" s="15" t="s">
        <v>8</v>
      </c>
      <c r="E182" s="17">
        <v>1200</v>
      </c>
      <c r="F182" s="17" t="s">
        <v>33</v>
      </c>
      <c r="G182" s="17" t="s">
        <v>282</v>
      </c>
      <c r="H182" s="26">
        <v>91</v>
      </c>
      <c r="M182" s="21"/>
      <c r="N182" s="13"/>
      <c r="O182" s="13"/>
      <c r="P182" s="13"/>
      <c r="Q182" s="14"/>
    </row>
    <row r="183" spans="1:17" ht="15.75" customHeight="1" x14ac:dyDescent="0.25">
      <c r="A183" s="15" t="s">
        <v>266</v>
      </c>
      <c r="B183" s="23" t="s">
        <v>64</v>
      </c>
      <c r="C183" s="25">
        <v>44247</v>
      </c>
      <c r="D183" s="15" t="s">
        <v>67</v>
      </c>
      <c r="E183" s="17">
        <v>1200</v>
      </c>
      <c r="F183" s="17" t="s">
        <v>221</v>
      </c>
      <c r="G183" s="17" t="s">
        <v>161</v>
      </c>
      <c r="H183" s="26">
        <v>85</v>
      </c>
      <c r="I183" s="15"/>
      <c r="J183" s="15"/>
      <c r="M183" s="21"/>
      <c r="N183" s="13"/>
      <c r="O183" s="13"/>
      <c r="P183" s="13"/>
      <c r="Q183" s="14"/>
    </row>
    <row r="184" spans="1:17" ht="15.75" customHeight="1" x14ac:dyDescent="0.25">
      <c r="A184" s="15" t="s">
        <v>266</v>
      </c>
      <c r="B184" s="23" t="s">
        <v>64</v>
      </c>
      <c r="C184" s="25">
        <v>44247</v>
      </c>
      <c r="D184" s="15" t="s">
        <v>6</v>
      </c>
      <c r="E184" s="17">
        <v>1180</v>
      </c>
      <c r="F184" s="17" t="s">
        <v>27</v>
      </c>
      <c r="G184" s="17" t="s">
        <v>283</v>
      </c>
      <c r="H184" s="26">
        <v>70</v>
      </c>
      <c r="M184" s="21"/>
      <c r="N184" s="13"/>
      <c r="O184" s="13"/>
      <c r="P184" s="13"/>
      <c r="Q184" s="14"/>
    </row>
    <row r="185" spans="1:17" ht="15.75" customHeight="1" x14ac:dyDescent="0.25">
      <c r="A185" s="15" t="s">
        <v>266</v>
      </c>
      <c r="B185" s="23" t="s">
        <v>64</v>
      </c>
      <c r="C185" s="25">
        <v>44244</v>
      </c>
      <c r="D185" s="15" t="s">
        <v>11</v>
      </c>
      <c r="E185" s="17">
        <v>887</v>
      </c>
      <c r="F185" s="17" t="s">
        <v>26</v>
      </c>
      <c r="G185" s="17" t="s">
        <v>195</v>
      </c>
      <c r="H185" s="26">
        <v>85</v>
      </c>
      <c r="M185" s="21"/>
      <c r="N185" s="13"/>
      <c r="O185" s="13"/>
      <c r="P185" s="13"/>
      <c r="Q185" s="14"/>
    </row>
    <row r="186" spans="1:17" ht="15.75" customHeight="1" x14ac:dyDescent="0.25">
      <c r="A186" s="15" t="s">
        <v>266</v>
      </c>
      <c r="B186" s="23" t="s">
        <v>64</v>
      </c>
      <c r="C186" s="25">
        <v>44244</v>
      </c>
      <c r="D186" s="15" t="s">
        <v>11</v>
      </c>
      <c r="E186" s="17">
        <v>887</v>
      </c>
      <c r="F186" s="17" t="s">
        <v>26</v>
      </c>
      <c r="G186" s="17" t="s">
        <v>239</v>
      </c>
      <c r="H186" s="26">
        <v>127.5</v>
      </c>
      <c r="M186" s="21"/>
      <c r="N186" s="13"/>
      <c r="O186" s="13"/>
      <c r="P186" s="13"/>
      <c r="Q186" s="14"/>
    </row>
    <row r="187" spans="1:17" ht="15.75" customHeight="1" x14ac:dyDescent="0.25">
      <c r="A187" s="15" t="s">
        <v>266</v>
      </c>
      <c r="B187" s="23" t="s">
        <v>64</v>
      </c>
      <c r="C187" s="25">
        <v>44244</v>
      </c>
      <c r="D187" s="15" t="s">
        <v>160</v>
      </c>
      <c r="E187" s="17">
        <v>887</v>
      </c>
      <c r="F187" s="17" t="s">
        <v>26</v>
      </c>
      <c r="G187" s="17" t="s">
        <v>94</v>
      </c>
      <c r="H187" s="26">
        <v>70</v>
      </c>
      <c r="M187" s="21"/>
      <c r="N187" s="13"/>
      <c r="O187" s="13"/>
      <c r="P187" s="13"/>
      <c r="Q187" s="14"/>
    </row>
    <row r="188" spans="1:17" ht="15.75" customHeight="1" x14ac:dyDescent="0.25">
      <c r="A188" s="15" t="s">
        <v>266</v>
      </c>
      <c r="B188" s="23" t="s">
        <v>64</v>
      </c>
      <c r="C188" s="25">
        <v>44244</v>
      </c>
      <c r="D188" s="15" t="s">
        <v>9</v>
      </c>
      <c r="E188" s="17">
        <v>887</v>
      </c>
      <c r="F188" s="17" t="s">
        <v>26</v>
      </c>
      <c r="G188" s="17" t="s">
        <v>200</v>
      </c>
      <c r="H188" s="26">
        <v>70</v>
      </c>
      <c r="M188" s="21"/>
      <c r="N188" s="13"/>
      <c r="O188" s="13"/>
      <c r="P188" s="13"/>
      <c r="Q188" s="14"/>
    </row>
    <row r="189" spans="1:17" ht="15.75" customHeight="1" x14ac:dyDescent="0.25">
      <c r="A189" s="15" t="s">
        <v>266</v>
      </c>
      <c r="B189" s="23" t="s">
        <v>64</v>
      </c>
      <c r="C189" s="25">
        <v>44244</v>
      </c>
      <c r="D189" s="15" t="s">
        <v>182</v>
      </c>
      <c r="E189" s="17">
        <v>887</v>
      </c>
      <c r="F189" s="17" t="s">
        <v>26</v>
      </c>
      <c r="G189" s="17" t="s">
        <v>284</v>
      </c>
      <c r="H189" s="26">
        <v>85</v>
      </c>
      <c r="M189" s="21"/>
      <c r="N189" s="13"/>
      <c r="O189" s="13"/>
      <c r="P189" s="13"/>
      <c r="Q189" s="14"/>
    </row>
    <row r="190" spans="1:17" ht="15.75" customHeight="1" x14ac:dyDescent="0.25">
      <c r="A190" s="15" t="s">
        <v>266</v>
      </c>
      <c r="B190" s="23" t="s">
        <v>64</v>
      </c>
      <c r="C190" s="25">
        <v>44245</v>
      </c>
      <c r="D190" s="15" t="s">
        <v>11</v>
      </c>
      <c r="E190" s="17">
        <v>888</v>
      </c>
      <c r="F190" s="17" t="s">
        <v>26</v>
      </c>
      <c r="G190" s="17" t="s">
        <v>218</v>
      </c>
      <c r="H190" s="26">
        <v>85</v>
      </c>
      <c r="M190" s="21"/>
      <c r="N190" s="13"/>
      <c r="O190" s="13"/>
      <c r="P190" s="13"/>
      <c r="Q190" s="14"/>
    </row>
    <row r="191" spans="1:17" ht="15.75" customHeight="1" x14ac:dyDescent="0.25">
      <c r="A191" s="15" t="s">
        <v>266</v>
      </c>
      <c r="B191" s="23" t="s">
        <v>64</v>
      </c>
      <c r="C191" s="25">
        <v>44245</v>
      </c>
      <c r="D191" s="15" t="s">
        <v>11</v>
      </c>
      <c r="E191" s="17">
        <v>888</v>
      </c>
      <c r="F191" s="17" t="s">
        <v>26</v>
      </c>
      <c r="G191" s="17" t="s">
        <v>223</v>
      </c>
      <c r="H191" s="26">
        <v>127.5</v>
      </c>
      <c r="M191" s="21"/>
      <c r="N191" s="13"/>
      <c r="O191" s="13"/>
      <c r="P191" s="13"/>
      <c r="Q191" s="14"/>
    </row>
    <row r="192" spans="1:17" ht="15.75" customHeight="1" x14ac:dyDescent="0.25">
      <c r="A192" s="15" t="s">
        <v>266</v>
      </c>
      <c r="B192" s="23" t="s">
        <v>64</v>
      </c>
      <c r="C192" s="25">
        <v>44245</v>
      </c>
      <c r="D192" s="15" t="s">
        <v>160</v>
      </c>
      <c r="E192" s="17">
        <v>888</v>
      </c>
      <c r="F192" s="17" t="s">
        <v>26</v>
      </c>
      <c r="G192" s="17" t="s">
        <v>285</v>
      </c>
      <c r="H192" s="26">
        <v>70</v>
      </c>
      <c r="M192" s="21"/>
      <c r="N192" s="13"/>
      <c r="O192" s="13"/>
      <c r="P192" s="13"/>
      <c r="Q192" s="14"/>
    </row>
    <row r="193" spans="1:17" ht="15.75" customHeight="1" x14ac:dyDescent="0.25">
      <c r="A193" s="15" t="s">
        <v>266</v>
      </c>
      <c r="B193" s="23" t="s">
        <v>64</v>
      </c>
      <c r="C193" s="25">
        <v>44245</v>
      </c>
      <c r="D193" s="15" t="s">
        <v>9</v>
      </c>
      <c r="E193" s="17">
        <v>888</v>
      </c>
      <c r="F193" s="17" t="s">
        <v>26</v>
      </c>
      <c r="G193" s="17" t="s">
        <v>286</v>
      </c>
      <c r="H193" s="26">
        <v>70</v>
      </c>
      <c r="M193" s="21"/>
      <c r="N193" s="13"/>
      <c r="O193" s="13"/>
      <c r="P193" s="13"/>
      <c r="Q193" s="14"/>
    </row>
    <row r="194" spans="1:17" ht="15.75" customHeight="1" x14ac:dyDescent="0.25">
      <c r="A194" s="15" t="s">
        <v>266</v>
      </c>
      <c r="B194" s="23" t="s">
        <v>64</v>
      </c>
      <c r="C194" s="25">
        <v>44245</v>
      </c>
      <c r="D194" s="15" t="s">
        <v>182</v>
      </c>
      <c r="E194" s="17">
        <v>888</v>
      </c>
      <c r="F194" s="17" t="s">
        <v>26</v>
      </c>
      <c r="G194" s="17" t="s">
        <v>81</v>
      </c>
      <c r="H194" s="26">
        <v>85</v>
      </c>
      <c r="M194" s="21"/>
      <c r="N194" s="13"/>
      <c r="O194" s="13"/>
      <c r="P194" s="13"/>
      <c r="Q194" s="14"/>
    </row>
    <row r="195" spans="1:17" ht="15.75" customHeight="1" x14ac:dyDescent="0.25">
      <c r="A195" s="15" t="s">
        <v>266</v>
      </c>
      <c r="B195" s="23" t="s">
        <v>64</v>
      </c>
      <c r="C195" s="25">
        <v>44246</v>
      </c>
      <c r="D195" s="15" t="s">
        <v>11</v>
      </c>
      <c r="E195" s="17">
        <v>888</v>
      </c>
      <c r="F195" s="17" t="s">
        <v>26</v>
      </c>
      <c r="G195" s="17" t="s">
        <v>247</v>
      </c>
      <c r="H195" s="26">
        <v>85</v>
      </c>
      <c r="M195" s="21"/>
      <c r="N195" s="13"/>
      <c r="O195" s="13"/>
      <c r="P195" s="13"/>
      <c r="Q195" s="14"/>
    </row>
    <row r="196" spans="1:17" ht="15.75" customHeight="1" x14ac:dyDescent="0.25">
      <c r="A196" s="15" t="s">
        <v>266</v>
      </c>
      <c r="B196" s="23" t="s">
        <v>64</v>
      </c>
      <c r="C196" s="25">
        <v>44246</v>
      </c>
      <c r="D196" s="15" t="s">
        <v>160</v>
      </c>
      <c r="E196" s="17">
        <v>888</v>
      </c>
      <c r="F196" s="17" t="s">
        <v>26</v>
      </c>
      <c r="G196" s="17" t="s">
        <v>165</v>
      </c>
      <c r="H196" s="26">
        <v>70</v>
      </c>
      <c r="M196" s="21"/>
      <c r="N196" s="13"/>
      <c r="O196" s="13"/>
      <c r="P196" s="13"/>
      <c r="Q196" s="14"/>
    </row>
    <row r="197" spans="1:17" ht="15.75" customHeight="1" x14ac:dyDescent="0.25">
      <c r="A197" s="15" t="s">
        <v>266</v>
      </c>
      <c r="B197" s="23" t="s">
        <v>64</v>
      </c>
      <c r="C197" s="25">
        <v>44246</v>
      </c>
      <c r="D197" s="15" t="s">
        <v>9</v>
      </c>
      <c r="E197" s="17">
        <v>888</v>
      </c>
      <c r="F197" s="17" t="s">
        <v>26</v>
      </c>
      <c r="G197" s="17" t="s">
        <v>192</v>
      </c>
      <c r="H197" s="26">
        <v>70</v>
      </c>
      <c r="M197" s="21"/>
      <c r="N197" s="13"/>
      <c r="O197" s="13"/>
      <c r="P197" s="13"/>
      <c r="Q197" s="14"/>
    </row>
    <row r="198" spans="1:17" ht="15.75" customHeight="1" x14ac:dyDescent="0.25">
      <c r="A198" s="15" t="s">
        <v>266</v>
      </c>
      <c r="B198" s="23" t="s">
        <v>64</v>
      </c>
      <c r="C198" s="25">
        <v>44246</v>
      </c>
      <c r="D198" s="15" t="s">
        <v>182</v>
      </c>
      <c r="E198" s="17">
        <v>888</v>
      </c>
      <c r="F198" s="17" t="s">
        <v>26</v>
      </c>
      <c r="G198" s="17" t="s">
        <v>119</v>
      </c>
      <c r="H198" s="26">
        <v>85</v>
      </c>
      <c r="M198" s="21"/>
      <c r="N198" s="13"/>
      <c r="O198" s="13"/>
      <c r="P198" s="13"/>
      <c r="Q198" s="14"/>
    </row>
    <row r="199" spans="1:17" ht="15.75" customHeight="1" x14ac:dyDescent="0.25">
      <c r="A199" s="15" t="s">
        <v>266</v>
      </c>
      <c r="B199" s="23" t="s">
        <v>64</v>
      </c>
      <c r="C199" s="25">
        <v>44242</v>
      </c>
      <c r="D199" s="15" t="s">
        <v>11</v>
      </c>
      <c r="E199" s="17">
        <v>716</v>
      </c>
      <c r="F199" s="17" t="s">
        <v>26</v>
      </c>
      <c r="G199" s="17" t="s">
        <v>163</v>
      </c>
      <c r="H199" s="26">
        <v>85</v>
      </c>
      <c r="M199" s="21"/>
      <c r="N199" s="13"/>
      <c r="O199" s="13"/>
      <c r="P199" s="13"/>
      <c r="Q199" s="14"/>
    </row>
    <row r="200" spans="1:17" ht="15.75" customHeight="1" x14ac:dyDescent="0.25">
      <c r="A200" s="15" t="s">
        <v>266</v>
      </c>
      <c r="B200" s="23" t="s">
        <v>64</v>
      </c>
      <c r="C200" s="25">
        <v>44243</v>
      </c>
      <c r="D200" s="15" t="s">
        <v>11</v>
      </c>
      <c r="E200" s="17">
        <v>716</v>
      </c>
      <c r="F200" s="17" t="s">
        <v>26</v>
      </c>
      <c r="G200" s="17" t="s">
        <v>174</v>
      </c>
      <c r="H200" s="26">
        <v>85</v>
      </c>
      <c r="M200" s="21"/>
      <c r="N200" s="13"/>
      <c r="O200" s="13"/>
      <c r="P200" s="13"/>
      <c r="Q200" s="14"/>
    </row>
    <row r="201" spans="1:17" ht="15.75" customHeight="1" x14ac:dyDescent="0.25">
      <c r="A201" s="15" t="s">
        <v>266</v>
      </c>
      <c r="B201" s="23" t="s">
        <v>64</v>
      </c>
      <c r="C201" s="25">
        <v>44243</v>
      </c>
      <c r="D201" s="15" t="s">
        <v>11</v>
      </c>
      <c r="E201" s="17">
        <v>716</v>
      </c>
      <c r="F201" s="17" t="s">
        <v>26</v>
      </c>
      <c r="G201" s="17" t="s">
        <v>243</v>
      </c>
      <c r="H201" s="26">
        <v>95</v>
      </c>
      <c r="M201" s="21"/>
      <c r="N201" s="13"/>
      <c r="O201" s="13"/>
      <c r="P201" s="13"/>
      <c r="Q201" s="14"/>
    </row>
    <row r="202" spans="1:17" ht="15.75" customHeight="1" x14ac:dyDescent="0.25">
      <c r="A202" s="15" t="s">
        <v>266</v>
      </c>
      <c r="B202" s="23" t="s">
        <v>64</v>
      </c>
      <c r="C202" s="25">
        <v>44243</v>
      </c>
      <c r="D202" s="15" t="s">
        <v>160</v>
      </c>
      <c r="E202" s="17">
        <v>716</v>
      </c>
      <c r="F202" s="17" t="s">
        <v>26</v>
      </c>
      <c r="G202" s="17" t="s">
        <v>287</v>
      </c>
      <c r="H202" s="26">
        <v>70</v>
      </c>
      <c r="M202" s="21"/>
      <c r="N202" s="13"/>
      <c r="O202" s="13"/>
      <c r="P202" s="13"/>
      <c r="Q202" s="14"/>
    </row>
    <row r="203" spans="1:17" ht="15.75" customHeight="1" x14ac:dyDescent="0.25">
      <c r="A203" s="15" t="s">
        <v>266</v>
      </c>
      <c r="B203" s="23" t="s">
        <v>64</v>
      </c>
      <c r="C203" s="17" t="s">
        <v>288</v>
      </c>
      <c r="D203" s="15" t="s">
        <v>129</v>
      </c>
      <c r="E203" s="17" t="s">
        <v>79</v>
      </c>
      <c r="F203" s="17" t="s">
        <v>80</v>
      </c>
      <c r="G203" s="17" t="s">
        <v>251</v>
      </c>
      <c r="H203" s="28">
        <v>425</v>
      </c>
      <c r="M203" s="21"/>
      <c r="N203" s="13"/>
      <c r="O203" s="13"/>
      <c r="P203" s="13"/>
      <c r="Q203" s="14"/>
    </row>
    <row r="204" spans="1:17" ht="15.75" customHeight="1" x14ac:dyDescent="0.25">
      <c r="A204" s="15" t="s">
        <v>266</v>
      </c>
      <c r="B204" s="23" t="s">
        <v>64</v>
      </c>
      <c r="C204" s="17" t="s">
        <v>289</v>
      </c>
      <c r="D204" s="15" t="s">
        <v>88</v>
      </c>
      <c r="E204" s="17" t="s">
        <v>84</v>
      </c>
      <c r="F204" s="17" t="s">
        <v>80</v>
      </c>
      <c r="G204" s="17" t="s">
        <v>276</v>
      </c>
      <c r="H204" s="28">
        <v>510</v>
      </c>
      <c r="M204" s="21"/>
      <c r="N204" s="13"/>
      <c r="O204" s="13"/>
      <c r="P204" s="13"/>
      <c r="Q204" s="14"/>
    </row>
    <row r="205" spans="1:17" ht="15.75" customHeight="1" x14ac:dyDescent="0.25">
      <c r="A205" s="15" t="s">
        <v>266</v>
      </c>
      <c r="B205" s="23" t="s">
        <v>64</v>
      </c>
      <c r="C205" s="17" t="s">
        <v>289</v>
      </c>
      <c r="D205" s="15" t="s">
        <v>78</v>
      </c>
      <c r="E205" s="17" t="s">
        <v>79</v>
      </c>
      <c r="F205" s="17" t="s">
        <v>80</v>
      </c>
      <c r="G205" s="17" t="s">
        <v>85</v>
      </c>
      <c r="H205" s="28">
        <v>470</v>
      </c>
      <c r="M205" s="21"/>
      <c r="N205" s="13"/>
      <c r="O205" s="13"/>
      <c r="P205" s="13"/>
      <c r="Q205" s="14"/>
    </row>
    <row r="206" spans="1:17" ht="15.75" customHeight="1" x14ac:dyDescent="0.25">
      <c r="A206" s="15" t="s">
        <v>266</v>
      </c>
      <c r="B206" s="23" t="s">
        <v>64</v>
      </c>
      <c r="C206" s="17" t="s">
        <v>289</v>
      </c>
      <c r="D206" s="15" t="s">
        <v>86</v>
      </c>
      <c r="E206" s="17" t="s">
        <v>79</v>
      </c>
      <c r="F206" s="17" t="s">
        <v>80</v>
      </c>
      <c r="G206" s="17" t="s">
        <v>158</v>
      </c>
      <c r="H206" s="28">
        <v>690</v>
      </c>
      <c r="M206" s="21"/>
      <c r="N206" s="13"/>
      <c r="O206" s="13"/>
      <c r="P206" s="13"/>
      <c r="Q206" s="14"/>
    </row>
    <row r="207" spans="1:17" ht="15.75" customHeight="1" x14ac:dyDescent="0.25">
      <c r="A207" s="29" t="s">
        <v>290</v>
      </c>
      <c r="B207" s="23" t="s">
        <v>65</v>
      </c>
      <c r="C207" s="25">
        <v>44249</v>
      </c>
      <c r="D207" s="30" t="s">
        <v>5</v>
      </c>
      <c r="E207" s="17">
        <v>1096</v>
      </c>
      <c r="F207" s="17" t="s">
        <v>27</v>
      </c>
      <c r="G207" s="17" t="s">
        <v>291</v>
      </c>
      <c r="H207" s="26">
        <v>70</v>
      </c>
      <c r="I207" s="15"/>
      <c r="J207" s="15"/>
      <c r="M207" s="21"/>
      <c r="N207" s="13"/>
      <c r="O207" s="13"/>
      <c r="P207" s="13"/>
      <c r="Q207" s="14"/>
    </row>
    <row r="208" spans="1:17" ht="15.75" customHeight="1" x14ac:dyDescent="0.25">
      <c r="A208" s="29" t="s">
        <v>290</v>
      </c>
      <c r="B208" s="23" t="s">
        <v>65</v>
      </c>
      <c r="C208" s="25">
        <v>44249</v>
      </c>
      <c r="D208" s="30" t="s">
        <v>6</v>
      </c>
      <c r="E208" s="17">
        <v>402</v>
      </c>
      <c r="F208" s="17" t="s">
        <v>33</v>
      </c>
      <c r="G208" s="17" t="s">
        <v>292</v>
      </c>
      <c r="H208" s="26">
        <v>70</v>
      </c>
      <c r="I208" s="31"/>
      <c r="J208" s="31"/>
      <c r="M208" s="21"/>
      <c r="N208" s="13"/>
      <c r="O208" s="13"/>
      <c r="P208" s="13"/>
      <c r="Q208" s="14"/>
    </row>
    <row r="209" spans="1:17" ht="15.75" customHeight="1" x14ac:dyDescent="0.25">
      <c r="A209" s="29" t="s">
        <v>290</v>
      </c>
      <c r="B209" s="23" t="s">
        <v>65</v>
      </c>
      <c r="C209" s="25">
        <v>44249</v>
      </c>
      <c r="D209" s="30" t="s">
        <v>67</v>
      </c>
      <c r="E209" s="17"/>
      <c r="F209" s="17" t="s">
        <v>221</v>
      </c>
      <c r="G209" s="17" t="s">
        <v>87</v>
      </c>
      <c r="H209" s="26">
        <v>85</v>
      </c>
      <c r="I209" s="15"/>
      <c r="J209" s="15"/>
      <c r="M209" s="21"/>
      <c r="N209" s="13"/>
      <c r="O209" s="13"/>
      <c r="P209" s="13"/>
      <c r="Q209" s="14"/>
    </row>
    <row r="210" spans="1:17" ht="15.75" customHeight="1" x14ac:dyDescent="0.25">
      <c r="A210" s="29" t="s">
        <v>290</v>
      </c>
      <c r="B210" s="23" t="s">
        <v>65</v>
      </c>
      <c r="C210" s="25">
        <v>44250</v>
      </c>
      <c r="D210" s="30" t="s">
        <v>6</v>
      </c>
      <c r="E210" s="17">
        <v>1161</v>
      </c>
      <c r="F210" s="17" t="s">
        <v>27</v>
      </c>
      <c r="G210" s="17" t="s">
        <v>293</v>
      </c>
      <c r="H210" s="26">
        <v>70</v>
      </c>
      <c r="I210" s="32"/>
      <c r="J210" s="32"/>
      <c r="M210" s="21"/>
      <c r="N210" s="13"/>
      <c r="O210" s="13"/>
      <c r="P210" s="13"/>
      <c r="Q210" s="14"/>
    </row>
    <row r="211" spans="1:17" ht="15.75" customHeight="1" x14ac:dyDescent="0.25">
      <c r="A211" s="29" t="s">
        <v>290</v>
      </c>
      <c r="B211" s="23" t="s">
        <v>65</v>
      </c>
      <c r="C211" s="25">
        <v>44251</v>
      </c>
      <c r="D211" s="30" t="s">
        <v>67</v>
      </c>
      <c r="E211" s="17"/>
      <c r="F211" s="17" t="s">
        <v>221</v>
      </c>
      <c r="G211" s="17" t="s">
        <v>121</v>
      </c>
      <c r="H211" s="26">
        <v>85</v>
      </c>
      <c r="I211" s="15"/>
      <c r="J211" s="15"/>
      <c r="M211" s="21"/>
      <c r="N211" s="13"/>
      <c r="O211" s="13"/>
      <c r="P211" s="13"/>
      <c r="Q211" s="14"/>
    </row>
    <row r="212" spans="1:17" ht="15.75" customHeight="1" x14ac:dyDescent="0.25">
      <c r="A212" s="29" t="s">
        <v>290</v>
      </c>
      <c r="B212" s="23" t="s">
        <v>65</v>
      </c>
      <c r="C212" s="25">
        <v>44251</v>
      </c>
      <c r="D212" s="30" t="s">
        <v>6</v>
      </c>
      <c r="E212" s="17">
        <v>1251</v>
      </c>
      <c r="F212" s="17" t="s">
        <v>33</v>
      </c>
      <c r="G212" s="17" t="s">
        <v>294</v>
      </c>
      <c r="H212" s="26">
        <v>70</v>
      </c>
      <c r="I212" s="33"/>
      <c r="J212" s="33"/>
      <c r="M212" s="21"/>
      <c r="N212" s="13"/>
      <c r="O212" s="13"/>
      <c r="P212" s="13"/>
      <c r="Q212" s="14"/>
    </row>
    <row r="213" spans="1:17" ht="15.75" customHeight="1" x14ac:dyDescent="0.25">
      <c r="A213" s="29" t="s">
        <v>290</v>
      </c>
      <c r="B213" s="23" t="s">
        <v>65</v>
      </c>
      <c r="C213" s="25">
        <v>44251</v>
      </c>
      <c r="D213" s="30" t="s">
        <v>8</v>
      </c>
      <c r="E213" s="17">
        <v>1284</v>
      </c>
      <c r="F213" s="17" t="s">
        <v>33</v>
      </c>
      <c r="G213" s="17" t="s">
        <v>295</v>
      </c>
      <c r="H213" s="26">
        <v>102</v>
      </c>
      <c r="I213" s="15"/>
      <c r="J213" s="15"/>
      <c r="M213" s="21"/>
      <c r="N213" s="13"/>
      <c r="O213" s="13"/>
      <c r="P213" s="13"/>
      <c r="Q213" s="14"/>
    </row>
    <row r="214" spans="1:17" ht="15.75" customHeight="1" x14ac:dyDescent="0.25">
      <c r="A214" s="29" t="s">
        <v>290</v>
      </c>
      <c r="B214" s="23" t="s">
        <v>65</v>
      </c>
      <c r="C214" s="25">
        <v>44251</v>
      </c>
      <c r="D214" s="30" t="s">
        <v>5</v>
      </c>
      <c r="E214" s="17" t="s">
        <v>296</v>
      </c>
      <c r="F214" s="17" t="s">
        <v>33</v>
      </c>
      <c r="G214" s="17" t="s">
        <v>297</v>
      </c>
      <c r="H214" s="26">
        <v>70</v>
      </c>
      <c r="I214" s="15"/>
      <c r="J214" s="15"/>
      <c r="M214" s="21"/>
      <c r="N214" s="13"/>
      <c r="O214" s="13"/>
      <c r="P214" s="13"/>
      <c r="Q214" s="14"/>
    </row>
    <row r="215" spans="1:17" ht="15.75" customHeight="1" x14ac:dyDescent="0.25">
      <c r="A215" s="29" t="s">
        <v>290</v>
      </c>
      <c r="B215" s="23" t="s">
        <v>65</v>
      </c>
      <c r="C215" s="25">
        <v>44251</v>
      </c>
      <c r="D215" s="30" t="s">
        <v>6</v>
      </c>
      <c r="E215" s="17">
        <v>1208</v>
      </c>
      <c r="F215" s="17" t="s">
        <v>27</v>
      </c>
      <c r="G215" s="17" t="s">
        <v>298</v>
      </c>
      <c r="H215" s="26">
        <v>70</v>
      </c>
      <c r="I215" s="15"/>
      <c r="J215" s="15"/>
      <c r="M215" s="21"/>
      <c r="N215" s="13"/>
      <c r="O215" s="13"/>
      <c r="P215" s="13"/>
      <c r="Q215" s="14"/>
    </row>
    <row r="216" spans="1:17" ht="15.75" customHeight="1" x14ac:dyDescent="0.25">
      <c r="A216" s="29" t="s">
        <v>290</v>
      </c>
      <c r="B216" s="23" t="s">
        <v>65</v>
      </c>
      <c r="C216" s="25">
        <v>44251</v>
      </c>
      <c r="D216" s="30" t="s">
        <v>269</v>
      </c>
      <c r="E216" s="17">
        <v>968</v>
      </c>
      <c r="F216" s="17" t="s">
        <v>27</v>
      </c>
      <c r="G216" s="17" t="s">
        <v>299</v>
      </c>
      <c r="H216" s="26">
        <v>70</v>
      </c>
      <c r="I216" s="15"/>
      <c r="J216" s="15"/>
      <c r="M216" s="21"/>
      <c r="N216" s="13"/>
      <c r="O216" s="13"/>
      <c r="P216" s="13"/>
      <c r="Q216" s="14"/>
    </row>
    <row r="217" spans="1:17" ht="15.75" customHeight="1" x14ac:dyDescent="0.25">
      <c r="A217" s="29" t="s">
        <v>290</v>
      </c>
      <c r="B217" s="23" t="s">
        <v>65</v>
      </c>
      <c r="C217" s="25">
        <v>44251</v>
      </c>
      <c r="D217" s="30" t="s">
        <v>88</v>
      </c>
      <c r="E217" s="17">
        <v>1221</v>
      </c>
      <c r="F217" s="17" t="s">
        <v>26</v>
      </c>
      <c r="G217" s="17" t="s">
        <v>299</v>
      </c>
      <c r="H217" s="26">
        <v>74</v>
      </c>
      <c r="I217" s="31"/>
      <c r="J217" s="31"/>
      <c r="M217" s="21"/>
      <c r="N217" s="13"/>
      <c r="O217" s="13"/>
      <c r="P217" s="13"/>
      <c r="Q217" s="14"/>
    </row>
    <row r="218" spans="1:17" ht="15.75" customHeight="1" x14ac:dyDescent="0.25">
      <c r="A218" s="29" t="s">
        <v>290</v>
      </c>
      <c r="B218" s="23" t="s">
        <v>65</v>
      </c>
      <c r="C218" s="25">
        <v>44251</v>
      </c>
      <c r="D218" s="30" t="s">
        <v>67</v>
      </c>
      <c r="E218" s="17"/>
      <c r="F218" s="17" t="s">
        <v>221</v>
      </c>
      <c r="G218" s="17" t="s">
        <v>222</v>
      </c>
      <c r="H218" s="26">
        <v>51</v>
      </c>
      <c r="I218" s="15"/>
      <c r="J218" s="15"/>
      <c r="M218" s="21"/>
      <c r="N218" s="13"/>
      <c r="O218" s="13"/>
      <c r="P218" s="13"/>
      <c r="Q218" s="14"/>
    </row>
    <row r="219" spans="1:17" ht="15.75" customHeight="1" x14ac:dyDescent="0.25">
      <c r="A219" s="29" t="s">
        <v>290</v>
      </c>
      <c r="B219" s="23" t="s">
        <v>65</v>
      </c>
      <c r="C219" s="25">
        <v>44252</v>
      </c>
      <c r="D219" s="30" t="s">
        <v>6</v>
      </c>
      <c r="E219" s="17">
        <v>606</v>
      </c>
      <c r="F219" s="17" t="s">
        <v>33</v>
      </c>
      <c r="G219" s="17" t="s">
        <v>300</v>
      </c>
      <c r="H219" s="26">
        <v>70</v>
      </c>
      <c r="I219" s="33"/>
      <c r="J219" s="33"/>
      <c r="M219" s="21"/>
      <c r="N219" s="13"/>
      <c r="O219" s="13"/>
      <c r="P219" s="13"/>
      <c r="Q219" s="14"/>
    </row>
    <row r="220" spans="1:17" ht="15.75" customHeight="1" x14ac:dyDescent="0.25">
      <c r="A220" s="29" t="s">
        <v>290</v>
      </c>
      <c r="B220" s="23" t="s">
        <v>65</v>
      </c>
      <c r="C220" s="25">
        <v>44252</v>
      </c>
      <c r="D220" s="30" t="s">
        <v>5</v>
      </c>
      <c r="E220" s="17">
        <v>1262</v>
      </c>
      <c r="F220" s="17" t="s">
        <v>33</v>
      </c>
      <c r="G220" s="17" t="s">
        <v>301</v>
      </c>
      <c r="H220" s="26">
        <v>70</v>
      </c>
      <c r="I220" s="15"/>
      <c r="J220" s="15"/>
      <c r="M220" s="21"/>
      <c r="N220" s="13"/>
      <c r="O220" s="13"/>
      <c r="P220" s="13"/>
      <c r="Q220" s="14"/>
    </row>
    <row r="221" spans="1:17" ht="15.75" customHeight="1" x14ac:dyDescent="0.25">
      <c r="A221" s="29" t="s">
        <v>290</v>
      </c>
      <c r="B221" s="23" t="s">
        <v>65</v>
      </c>
      <c r="C221" s="25">
        <v>44252</v>
      </c>
      <c r="D221" s="30" t="s">
        <v>5</v>
      </c>
      <c r="E221" s="17">
        <v>1308</v>
      </c>
      <c r="F221" s="17" t="s">
        <v>33</v>
      </c>
      <c r="G221" s="17" t="s">
        <v>302</v>
      </c>
      <c r="H221" s="26">
        <v>70</v>
      </c>
      <c r="I221" s="15"/>
      <c r="J221" s="15"/>
      <c r="M221" s="21"/>
      <c r="N221" s="13"/>
      <c r="O221" s="13"/>
      <c r="P221" s="13"/>
      <c r="Q221" s="14"/>
    </row>
    <row r="222" spans="1:17" ht="15.75" customHeight="1" x14ac:dyDescent="0.25">
      <c r="A222" s="29" t="s">
        <v>290</v>
      </c>
      <c r="B222" s="23" t="s">
        <v>65</v>
      </c>
      <c r="C222" s="25">
        <v>44253</v>
      </c>
      <c r="D222" s="30" t="s">
        <v>5</v>
      </c>
      <c r="E222" s="17">
        <v>1322</v>
      </c>
      <c r="F222" s="17" t="s">
        <v>33</v>
      </c>
      <c r="G222" s="17" t="s">
        <v>303</v>
      </c>
      <c r="H222" s="26">
        <v>70</v>
      </c>
      <c r="I222" s="15"/>
      <c r="J222" s="15"/>
      <c r="M222" s="21"/>
      <c r="N222" s="13"/>
      <c r="O222" s="13"/>
      <c r="P222" s="13"/>
      <c r="Q222" s="14"/>
    </row>
    <row r="223" spans="1:17" ht="15.75" customHeight="1" x14ac:dyDescent="0.25">
      <c r="A223" s="29" t="s">
        <v>290</v>
      </c>
      <c r="B223" s="23" t="s">
        <v>65</v>
      </c>
      <c r="C223" s="25">
        <v>44253</v>
      </c>
      <c r="D223" s="30" t="s">
        <v>6</v>
      </c>
      <c r="E223" s="17">
        <v>1176</v>
      </c>
      <c r="F223" s="17" t="s">
        <v>33</v>
      </c>
      <c r="G223" s="17" t="s">
        <v>304</v>
      </c>
      <c r="H223" s="26">
        <v>70</v>
      </c>
      <c r="I223" s="15"/>
      <c r="J223" s="15"/>
      <c r="M223" s="21"/>
      <c r="N223" s="13"/>
      <c r="O223" s="13"/>
      <c r="P223" s="13"/>
      <c r="Q223" s="14"/>
    </row>
    <row r="224" spans="1:17" ht="15.75" customHeight="1" x14ac:dyDescent="0.25">
      <c r="A224" s="29" t="s">
        <v>290</v>
      </c>
      <c r="B224" s="23" t="s">
        <v>65</v>
      </c>
      <c r="C224" s="25">
        <v>44253</v>
      </c>
      <c r="D224" s="30" t="s">
        <v>269</v>
      </c>
      <c r="E224" s="17">
        <v>1272</v>
      </c>
      <c r="F224" s="17" t="s">
        <v>27</v>
      </c>
      <c r="G224" s="17" t="s">
        <v>305</v>
      </c>
      <c r="H224" s="26">
        <v>70</v>
      </c>
      <c r="I224" s="31"/>
      <c r="J224" s="31"/>
      <c r="M224" s="21"/>
      <c r="N224" s="13"/>
      <c r="O224" s="13"/>
      <c r="P224" s="13"/>
      <c r="Q224" s="14"/>
    </row>
    <row r="225" spans="1:17" ht="15.75" customHeight="1" x14ac:dyDescent="0.25">
      <c r="A225" s="29" t="s">
        <v>290</v>
      </c>
      <c r="B225" s="23" t="s">
        <v>65</v>
      </c>
      <c r="C225" s="25">
        <v>44253</v>
      </c>
      <c r="D225" s="30" t="s">
        <v>67</v>
      </c>
      <c r="E225" s="17"/>
      <c r="F225" s="17" t="s">
        <v>221</v>
      </c>
      <c r="G225" s="17" t="s">
        <v>137</v>
      </c>
      <c r="H225" s="26">
        <v>85</v>
      </c>
      <c r="I225" s="15"/>
      <c r="J225" s="15"/>
      <c r="M225" s="21"/>
      <c r="N225" s="13"/>
      <c r="O225" s="13"/>
      <c r="P225" s="13"/>
      <c r="Q225" s="14"/>
    </row>
    <row r="226" spans="1:17" ht="15.75" customHeight="1" x14ac:dyDescent="0.25">
      <c r="A226" s="29" t="s">
        <v>290</v>
      </c>
      <c r="B226" s="23" t="s">
        <v>65</v>
      </c>
      <c r="C226" s="25">
        <v>44254</v>
      </c>
      <c r="D226" s="30" t="s">
        <v>67</v>
      </c>
      <c r="E226" s="17"/>
      <c r="F226" s="17" t="s">
        <v>221</v>
      </c>
      <c r="G226" s="17" t="s">
        <v>106</v>
      </c>
      <c r="H226" s="26">
        <v>120</v>
      </c>
      <c r="I226" s="15"/>
      <c r="J226" s="15"/>
      <c r="M226" s="21"/>
      <c r="N226" s="13"/>
      <c r="O226" s="13"/>
      <c r="P226" s="13"/>
      <c r="Q226" s="14"/>
    </row>
    <row r="227" spans="1:17" ht="15.75" customHeight="1" x14ac:dyDescent="0.25">
      <c r="A227" s="29" t="s">
        <v>290</v>
      </c>
      <c r="B227" s="23" t="s">
        <v>65</v>
      </c>
      <c r="C227" s="25">
        <v>44254</v>
      </c>
      <c r="D227" s="30" t="s">
        <v>6</v>
      </c>
      <c r="E227" s="17">
        <v>1357</v>
      </c>
      <c r="F227" s="17" t="s">
        <v>33</v>
      </c>
      <c r="G227" s="17" t="s">
        <v>306</v>
      </c>
      <c r="H227" s="26">
        <v>70</v>
      </c>
      <c r="I227" s="33"/>
      <c r="J227" s="33"/>
      <c r="M227" s="21"/>
      <c r="N227" s="13"/>
      <c r="O227" s="13"/>
      <c r="P227" s="13"/>
      <c r="Q227" s="14"/>
    </row>
    <row r="228" spans="1:17" ht="15.75" customHeight="1" x14ac:dyDescent="0.25">
      <c r="A228" s="29" t="s">
        <v>307</v>
      </c>
      <c r="B228" s="17" t="s">
        <v>308</v>
      </c>
      <c r="C228" s="17" t="s">
        <v>309</v>
      </c>
      <c r="D228" s="15" t="s">
        <v>160</v>
      </c>
      <c r="E228" s="17" t="s">
        <v>126</v>
      </c>
      <c r="F228" s="18" t="s">
        <v>127</v>
      </c>
      <c r="G228" s="17" t="s">
        <v>199</v>
      </c>
      <c r="H228" s="28">
        <v>630</v>
      </c>
      <c r="I228" s="15"/>
      <c r="J228" s="15"/>
      <c r="M228" s="21"/>
      <c r="N228" s="13"/>
      <c r="O228" s="13"/>
      <c r="P228" s="13"/>
      <c r="Q228" s="14"/>
    </row>
    <row r="229" spans="1:17" ht="15.75" customHeight="1" x14ac:dyDescent="0.25">
      <c r="A229" s="29" t="s">
        <v>307</v>
      </c>
      <c r="B229" s="17" t="s">
        <v>308</v>
      </c>
      <c r="C229" s="17" t="s">
        <v>310</v>
      </c>
      <c r="D229" s="15" t="s">
        <v>125</v>
      </c>
      <c r="E229" s="17" t="s">
        <v>126</v>
      </c>
      <c r="F229" s="18" t="s">
        <v>127</v>
      </c>
      <c r="G229" s="17" t="s">
        <v>176</v>
      </c>
      <c r="H229" s="28">
        <v>1125</v>
      </c>
      <c r="I229" s="15"/>
      <c r="J229" s="15"/>
      <c r="M229" s="21"/>
      <c r="N229" s="13"/>
      <c r="O229" s="13"/>
      <c r="P229" s="13"/>
      <c r="Q229" s="14"/>
    </row>
    <row r="230" spans="1:17" ht="15.75" customHeight="1" x14ac:dyDescent="0.25">
      <c r="A230" s="29" t="s">
        <v>307</v>
      </c>
      <c r="B230" s="17" t="s">
        <v>308</v>
      </c>
      <c r="C230" s="17" t="s">
        <v>311</v>
      </c>
      <c r="D230" s="15" t="s">
        <v>88</v>
      </c>
      <c r="E230" s="17" t="s">
        <v>126</v>
      </c>
      <c r="F230" s="18" t="s">
        <v>127</v>
      </c>
      <c r="G230" s="17" t="s">
        <v>279</v>
      </c>
      <c r="H230" s="28">
        <v>333.5</v>
      </c>
      <c r="I230" s="15"/>
      <c r="J230" s="15"/>
      <c r="M230" s="21"/>
      <c r="N230" s="13"/>
      <c r="O230" s="13"/>
      <c r="P230" s="13"/>
      <c r="Q230" s="14"/>
    </row>
    <row r="231" spans="1:17" ht="15.75" customHeight="1" x14ac:dyDescent="0.25">
      <c r="A231" s="29" t="s">
        <v>307</v>
      </c>
      <c r="B231" s="17" t="s">
        <v>308</v>
      </c>
      <c r="C231" s="17" t="s">
        <v>311</v>
      </c>
      <c r="D231" s="15" t="s">
        <v>78</v>
      </c>
      <c r="E231" s="17" t="s">
        <v>126</v>
      </c>
      <c r="F231" s="18" t="s">
        <v>127</v>
      </c>
      <c r="G231" s="17" t="s">
        <v>120</v>
      </c>
      <c r="H231" s="28">
        <v>400.2</v>
      </c>
      <c r="I231" s="15"/>
      <c r="J231" s="15"/>
      <c r="M231" s="21"/>
      <c r="N231" s="13"/>
      <c r="O231" s="13"/>
      <c r="P231" s="13"/>
      <c r="Q231" s="14"/>
    </row>
    <row r="232" spans="1:17" ht="15.75" customHeight="1" x14ac:dyDescent="0.25">
      <c r="A232" s="29" t="s">
        <v>307</v>
      </c>
      <c r="B232" s="17" t="s">
        <v>308</v>
      </c>
      <c r="C232" s="17" t="s">
        <v>310</v>
      </c>
      <c r="D232" s="15" t="s">
        <v>312</v>
      </c>
      <c r="E232" s="17" t="s">
        <v>126</v>
      </c>
      <c r="F232" s="18" t="s">
        <v>127</v>
      </c>
      <c r="G232" s="17" t="s">
        <v>106</v>
      </c>
      <c r="H232" s="28">
        <v>1000.5</v>
      </c>
      <c r="I232" s="15"/>
      <c r="J232" s="15"/>
      <c r="M232" s="21"/>
      <c r="N232" s="13"/>
      <c r="O232" s="13"/>
      <c r="P232" s="13"/>
      <c r="Q232" s="14"/>
    </row>
    <row r="233" spans="1:17" ht="15.75" customHeight="1" x14ac:dyDescent="0.25">
      <c r="A233" s="29" t="s">
        <v>307</v>
      </c>
      <c r="B233" s="17" t="s">
        <v>308</v>
      </c>
      <c r="C233" s="17" t="s">
        <v>310</v>
      </c>
      <c r="D233" s="15" t="s">
        <v>313</v>
      </c>
      <c r="E233" s="17" t="s">
        <v>126</v>
      </c>
      <c r="F233" s="18" t="s">
        <v>127</v>
      </c>
      <c r="G233" s="17" t="s">
        <v>130</v>
      </c>
      <c r="H233" s="28">
        <v>1000.5</v>
      </c>
      <c r="I233" s="15"/>
      <c r="J233" s="15"/>
      <c r="M233" s="21"/>
      <c r="N233" s="13"/>
      <c r="O233" s="13"/>
      <c r="P233" s="13"/>
      <c r="Q233" s="14"/>
    </row>
    <row r="234" spans="1:17" ht="15.75" customHeight="1" x14ac:dyDescent="0.25">
      <c r="A234" s="29" t="s">
        <v>307</v>
      </c>
      <c r="B234" s="17" t="s">
        <v>308</v>
      </c>
      <c r="C234" s="17" t="s">
        <v>314</v>
      </c>
      <c r="D234" s="15" t="s">
        <v>238</v>
      </c>
      <c r="E234" s="17" t="s">
        <v>126</v>
      </c>
      <c r="F234" s="18" t="s">
        <v>127</v>
      </c>
      <c r="G234" s="17" t="s">
        <v>172</v>
      </c>
      <c r="H234" s="28">
        <v>733.7</v>
      </c>
      <c r="I234" s="15"/>
      <c r="J234" s="15"/>
      <c r="M234" s="21"/>
      <c r="N234" s="13"/>
      <c r="O234" s="13"/>
      <c r="P234" s="13"/>
      <c r="Q234" s="14"/>
    </row>
    <row r="235" spans="1:17" ht="15.75" customHeight="1" x14ac:dyDescent="0.25">
      <c r="A235" s="29" t="s">
        <v>307</v>
      </c>
      <c r="B235" s="17" t="s">
        <v>308</v>
      </c>
      <c r="C235" s="17" t="s">
        <v>311</v>
      </c>
      <c r="D235" s="15" t="s">
        <v>129</v>
      </c>
      <c r="E235" s="17" t="s">
        <v>126</v>
      </c>
      <c r="F235" s="18" t="s">
        <v>127</v>
      </c>
      <c r="G235" s="17" t="s">
        <v>128</v>
      </c>
      <c r="H235" s="28">
        <v>400</v>
      </c>
      <c r="I235" s="15"/>
      <c r="J235" s="15"/>
      <c r="M235" s="21"/>
      <c r="N235" s="13"/>
      <c r="O235" s="13"/>
      <c r="P235" s="13"/>
      <c r="Q235" s="14"/>
    </row>
    <row r="236" spans="1:17" ht="15.75" customHeight="1" x14ac:dyDescent="0.25">
      <c r="A236" s="29" t="s">
        <v>307</v>
      </c>
      <c r="B236" s="17" t="s">
        <v>308</v>
      </c>
      <c r="C236" s="17" t="s">
        <v>315</v>
      </c>
      <c r="D236" s="15" t="s">
        <v>234</v>
      </c>
      <c r="E236" s="17" t="s">
        <v>126</v>
      </c>
      <c r="F236" s="18" t="s">
        <v>127</v>
      </c>
      <c r="G236" s="17" t="s">
        <v>199</v>
      </c>
      <c r="H236" s="28">
        <v>800</v>
      </c>
      <c r="I236" s="15"/>
      <c r="J236" s="15"/>
      <c r="M236" s="21"/>
      <c r="N236" s="13"/>
      <c r="O236" s="13"/>
      <c r="P236" s="13"/>
      <c r="Q236" s="14"/>
    </row>
    <row r="237" spans="1:17" ht="15.75" customHeight="1" x14ac:dyDescent="0.25">
      <c r="A237" s="29" t="s">
        <v>307</v>
      </c>
      <c r="B237" s="17" t="s">
        <v>308</v>
      </c>
      <c r="C237" s="25">
        <v>44247</v>
      </c>
      <c r="D237" s="15" t="s">
        <v>11</v>
      </c>
      <c r="E237" s="17" t="s">
        <v>126</v>
      </c>
      <c r="F237" s="18" t="s">
        <v>127</v>
      </c>
      <c r="G237" s="17" t="s">
        <v>256</v>
      </c>
      <c r="H237" s="28">
        <v>67</v>
      </c>
      <c r="I237" s="15"/>
      <c r="J237" s="15"/>
      <c r="M237" s="21"/>
      <c r="N237" s="13"/>
      <c r="O237" s="13"/>
      <c r="P237" s="13"/>
      <c r="Q237" s="14"/>
    </row>
    <row r="238" spans="1:17" ht="15.75" customHeight="1" x14ac:dyDescent="0.25">
      <c r="A238" s="29" t="s">
        <v>307</v>
      </c>
      <c r="B238" s="17" t="s">
        <v>308</v>
      </c>
      <c r="C238" s="17" t="s">
        <v>316</v>
      </c>
      <c r="D238" s="15" t="s">
        <v>11</v>
      </c>
      <c r="E238" s="17" t="s">
        <v>126</v>
      </c>
      <c r="F238" s="18" t="s">
        <v>127</v>
      </c>
      <c r="G238" s="17" t="s">
        <v>317</v>
      </c>
      <c r="H238" s="28">
        <v>201</v>
      </c>
      <c r="I238" s="15"/>
      <c r="J238" s="15"/>
      <c r="M238" s="21"/>
      <c r="N238" s="13"/>
      <c r="O238" s="13"/>
      <c r="P238" s="13"/>
      <c r="Q238" s="14"/>
    </row>
    <row r="239" spans="1:17" ht="15.75" customHeight="1" x14ac:dyDescent="0.25">
      <c r="A239" s="29" t="s">
        <v>307</v>
      </c>
      <c r="B239" s="17" t="s">
        <v>308</v>
      </c>
      <c r="C239" s="17" t="s">
        <v>315</v>
      </c>
      <c r="D239" s="15" t="s">
        <v>318</v>
      </c>
      <c r="E239" s="17" t="s">
        <v>126</v>
      </c>
      <c r="F239" s="18" t="s">
        <v>127</v>
      </c>
      <c r="G239" s="17" t="s">
        <v>158</v>
      </c>
      <c r="H239" s="28">
        <v>800.4</v>
      </c>
      <c r="I239" s="15"/>
      <c r="J239" s="15"/>
      <c r="M239" s="21"/>
      <c r="N239" s="13"/>
      <c r="O239" s="13"/>
      <c r="P239" s="13"/>
      <c r="Q239" s="14"/>
    </row>
    <row r="240" spans="1:17" ht="15.75" customHeight="1" x14ac:dyDescent="0.25">
      <c r="A240" s="29" t="s">
        <v>307</v>
      </c>
      <c r="B240" s="17" t="s">
        <v>308</v>
      </c>
      <c r="C240" s="17" t="s">
        <v>310</v>
      </c>
      <c r="D240" s="15" t="s">
        <v>319</v>
      </c>
      <c r="E240" s="17" t="s">
        <v>126</v>
      </c>
      <c r="F240" s="18" t="s">
        <v>127</v>
      </c>
      <c r="G240" s="17" t="s">
        <v>130</v>
      </c>
      <c r="H240" s="28">
        <v>1000</v>
      </c>
      <c r="I240" s="15"/>
      <c r="J240" s="15"/>
      <c r="M240" s="21"/>
      <c r="N240" s="13"/>
      <c r="O240" s="13"/>
      <c r="P240" s="13"/>
      <c r="Q240" s="14"/>
    </row>
    <row r="241" spans="1:17" ht="15.75" customHeight="1" x14ac:dyDescent="0.25">
      <c r="A241" s="29" t="s">
        <v>307</v>
      </c>
      <c r="B241" s="17" t="s">
        <v>308</v>
      </c>
      <c r="C241" s="17" t="s">
        <v>310</v>
      </c>
      <c r="D241" s="15" t="s">
        <v>320</v>
      </c>
      <c r="E241" s="17" t="s">
        <v>126</v>
      </c>
      <c r="F241" s="18" t="s">
        <v>127</v>
      </c>
      <c r="G241" s="17" t="s">
        <v>173</v>
      </c>
      <c r="H241" s="28">
        <v>1000</v>
      </c>
      <c r="I241" s="15"/>
      <c r="J241" s="15"/>
      <c r="M241" s="21"/>
      <c r="N241" s="13"/>
      <c r="O241" s="13"/>
      <c r="P241" s="13"/>
      <c r="Q241" s="14"/>
    </row>
    <row r="242" spans="1:17" ht="15.75" customHeight="1" x14ac:dyDescent="0.25">
      <c r="A242" s="29" t="s">
        <v>307</v>
      </c>
      <c r="B242" s="17" t="s">
        <v>308</v>
      </c>
      <c r="C242" s="17" t="s">
        <v>321</v>
      </c>
      <c r="D242" s="15" t="s">
        <v>11</v>
      </c>
      <c r="E242" s="17" t="s">
        <v>126</v>
      </c>
      <c r="F242" s="18" t="s">
        <v>127</v>
      </c>
      <c r="G242" s="17" t="s">
        <v>200</v>
      </c>
      <c r="H242" s="28">
        <v>335</v>
      </c>
      <c r="I242" s="15"/>
      <c r="J242" s="15"/>
      <c r="M242" s="21"/>
      <c r="N242" s="13"/>
      <c r="O242" s="13"/>
      <c r="P242" s="13"/>
      <c r="Q242" s="14"/>
    </row>
    <row r="243" spans="1:17" ht="15.75" customHeight="1" x14ac:dyDescent="0.25">
      <c r="A243" s="29" t="s">
        <v>322</v>
      </c>
      <c r="B243" s="23" t="s">
        <v>38</v>
      </c>
      <c r="C243" s="25">
        <v>44256</v>
      </c>
      <c r="D243" s="30" t="s">
        <v>6</v>
      </c>
      <c r="E243" s="17">
        <v>1261</v>
      </c>
      <c r="F243" s="17" t="s">
        <v>33</v>
      </c>
      <c r="G243" s="17" t="s">
        <v>323</v>
      </c>
      <c r="H243" s="26">
        <v>70</v>
      </c>
      <c r="I243" s="15"/>
      <c r="J243" s="15"/>
      <c r="M243" s="21"/>
      <c r="N243" s="13"/>
      <c r="O243" s="13"/>
      <c r="P243" s="13"/>
      <c r="Q243" s="14"/>
    </row>
    <row r="244" spans="1:17" ht="15.75" customHeight="1" x14ac:dyDescent="0.25">
      <c r="A244" s="29" t="s">
        <v>322</v>
      </c>
      <c r="B244" s="23" t="s">
        <v>38</v>
      </c>
      <c r="C244" s="25">
        <v>44256</v>
      </c>
      <c r="D244" s="30" t="s">
        <v>6</v>
      </c>
      <c r="E244" s="17">
        <v>1356</v>
      </c>
      <c r="F244" s="17" t="s">
        <v>27</v>
      </c>
      <c r="G244" s="17" t="s">
        <v>324</v>
      </c>
      <c r="H244" s="26">
        <v>70</v>
      </c>
      <c r="I244" s="15"/>
      <c r="J244" s="15"/>
      <c r="M244" s="21"/>
      <c r="N244" s="13"/>
      <c r="O244" s="13"/>
      <c r="P244" s="13"/>
      <c r="Q244" s="14"/>
    </row>
    <row r="245" spans="1:17" ht="15.75" customHeight="1" x14ac:dyDescent="0.25">
      <c r="A245" s="29" t="s">
        <v>322</v>
      </c>
      <c r="B245" s="23" t="s">
        <v>38</v>
      </c>
      <c r="C245" s="25">
        <v>44257</v>
      </c>
      <c r="D245" s="30" t="s">
        <v>5</v>
      </c>
      <c r="E245" s="17">
        <v>1343</v>
      </c>
      <c r="F245" s="17" t="s">
        <v>33</v>
      </c>
      <c r="G245" s="17" t="s">
        <v>325</v>
      </c>
      <c r="H245" s="26">
        <v>70</v>
      </c>
      <c r="I245" s="15"/>
      <c r="J245" s="15"/>
      <c r="M245" s="21"/>
      <c r="N245" s="13"/>
      <c r="O245" s="13"/>
      <c r="P245" s="13"/>
      <c r="Q245" s="14"/>
    </row>
    <row r="246" spans="1:17" ht="15.75" customHeight="1" x14ac:dyDescent="0.25">
      <c r="A246" s="29" t="s">
        <v>322</v>
      </c>
      <c r="B246" s="23" t="s">
        <v>38</v>
      </c>
      <c r="C246" s="25">
        <v>44257</v>
      </c>
      <c r="D246" s="30" t="s">
        <v>6</v>
      </c>
      <c r="E246" s="17">
        <v>1326</v>
      </c>
      <c r="F246" s="17" t="s">
        <v>33</v>
      </c>
      <c r="G246" s="17" t="s">
        <v>326</v>
      </c>
      <c r="H246" s="26">
        <v>70</v>
      </c>
      <c r="I246" s="15"/>
      <c r="J246" s="15"/>
      <c r="M246" s="21"/>
      <c r="N246" s="13"/>
      <c r="O246" s="13"/>
      <c r="P246" s="13"/>
      <c r="Q246" s="14"/>
    </row>
    <row r="247" spans="1:17" ht="15.75" customHeight="1" x14ac:dyDescent="0.25">
      <c r="A247" s="29" t="s">
        <v>322</v>
      </c>
      <c r="B247" s="23" t="s">
        <v>38</v>
      </c>
      <c r="C247" s="25">
        <v>44259</v>
      </c>
      <c r="D247" s="30" t="s">
        <v>6</v>
      </c>
      <c r="E247" s="17">
        <v>1392</v>
      </c>
      <c r="F247" s="17" t="s">
        <v>33</v>
      </c>
      <c r="G247" s="17" t="s">
        <v>327</v>
      </c>
      <c r="H247" s="26">
        <v>70</v>
      </c>
      <c r="I247" s="31"/>
      <c r="J247" s="31"/>
      <c r="M247" s="21"/>
      <c r="N247" s="13"/>
      <c r="O247" s="13"/>
      <c r="P247" s="13"/>
      <c r="Q247" s="14"/>
    </row>
    <row r="248" spans="1:17" ht="15.75" customHeight="1" x14ac:dyDescent="0.25">
      <c r="A248" s="29" t="s">
        <v>322</v>
      </c>
      <c r="B248" s="23" t="s">
        <v>38</v>
      </c>
      <c r="C248" s="25">
        <v>44259</v>
      </c>
      <c r="D248" s="30" t="s">
        <v>67</v>
      </c>
      <c r="E248" s="17"/>
      <c r="F248" s="17" t="s">
        <v>221</v>
      </c>
      <c r="G248" s="17" t="s">
        <v>111</v>
      </c>
      <c r="H248" s="26">
        <v>85</v>
      </c>
      <c r="I248" s="15"/>
      <c r="J248" s="15"/>
      <c r="M248" s="21"/>
      <c r="N248" s="13"/>
      <c r="O248" s="13"/>
      <c r="P248" s="13"/>
      <c r="Q248" s="14"/>
    </row>
    <row r="249" spans="1:17" ht="15.75" customHeight="1" x14ac:dyDescent="0.25">
      <c r="A249" s="29" t="s">
        <v>322</v>
      </c>
      <c r="B249" s="23" t="s">
        <v>38</v>
      </c>
      <c r="C249" s="25">
        <v>44260</v>
      </c>
      <c r="D249" s="30" t="s">
        <v>6</v>
      </c>
      <c r="E249" s="17">
        <v>1344</v>
      </c>
      <c r="F249" s="17" t="s">
        <v>33</v>
      </c>
      <c r="G249" s="17" t="s">
        <v>328</v>
      </c>
      <c r="H249" s="26">
        <v>80</v>
      </c>
      <c r="I249" s="33"/>
      <c r="J249" s="33"/>
      <c r="M249" s="21"/>
      <c r="N249" s="13"/>
      <c r="O249" s="13"/>
      <c r="P249" s="13"/>
      <c r="Q249" s="14"/>
    </row>
    <row r="250" spans="1:17" ht="15.75" customHeight="1" x14ac:dyDescent="0.25">
      <c r="A250" s="29" t="s">
        <v>322</v>
      </c>
      <c r="B250" s="23" t="s">
        <v>38</v>
      </c>
      <c r="C250" s="25">
        <v>44261</v>
      </c>
      <c r="D250" s="30" t="s">
        <v>12</v>
      </c>
      <c r="E250" s="17" t="s">
        <v>329</v>
      </c>
      <c r="F250" s="17" t="s">
        <v>26</v>
      </c>
      <c r="G250" s="17" t="s">
        <v>255</v>
      </c>
      <c r="H250" s="26">
        <v>140</v>
      </c>
      <c r="I250" s="15"/>
      <c r="J250" s="15"/>
      <c r="M250" s="21"/>
      <c r="N250" s="13"/>
      <c r="O250" s="13"/>
      <c r="P250" s="13"/>
      <c r="Q250" s="14"/>
    </row>
    <row r="251" spans="1:17" ht="15.75" customHeight="1" x14ac:dyDescent="0.25">
      <c r="A251" s="29" t="s">
        <v>322</v>
      </c>
      <c r="B251" s="23" t="s">
        <v>38</v>
      </c>
      <c r="C251" s="25">
        <v>44261</v>
      </c>
      <c r="D251" s="15" t="s">
        <v>228</v>
      </c>
      <c r="E251" s="17" t="s">
        <v>329</v>
      </c>
      <c r="F251" s="17" t="s">
        <v>26</v>
      </c>
      <c r="G251" s="17" t="s">
        <v>330</v>
      </c>
      <c r="H251" s="26">
        <v>100</v>
      </c>
      <c r="I251" s="15"/>
      <c r="J251" s="15"/>
      <c r="M251" s="21"/>
      <c r="N251" s="13"/>
      <c r="O251" s="13"/>
      <c r="P251" s="13"/>
      <c r="Q251" s="14"/>
    </row>
    <row r="252" spans="1:17" ht="15.75" customHeight="1" x14ac:dyDescent="0.25">
      <c r="A252" s="29" t="s">
        <v>322</v>
      </c>
      <c r="B252" s="23" t="s">
        <v>38</v>
      </c>
      <c r="C252" s="25">
        <v>44261</v>
      </c>
      <c r="D252" s="15" t="s">
        <v>5</v>
      </c>
      <c r="E252" s="17">
        <v>1479</v>
      </c>
      <c r="F252" s="17" t="s">
        <v>27</v>
      </c>
      <c r="G252" s="17" t="s">
        <v>331</v>
      </c>
      <c r="H252" s="26">
        <v>70</v>
      </c>
      <c r="I252" s="15"/>
      <c r="J252" s="15"/>
      <c r="M252" s="21"/>
      <c r="N252" s="13"/>
      <c r="O252" s="13"/>
      <c r="P252" s="13"/>
      <c r="Q252" s="14"/>
    </row>
    <row r="253" spans="1:17" ht="15.75" customHeight="1" x14ac:dyDescent="0.25">
      <c r="M253" s="21"/>
      <c r="N253" s="13"/>
      <c r="O253" s="13"/>
      <c r="P253" s="13"/>
      <c r="Q253" s="14"/>
    </row>
    <row r="254" spans="1:17" ht="15.75" customHeight="1" x14ac:dyDescent="0.25">
      <c r="M254" s="21"/>
      <c r="N254" s="13"/>
      <c r="O254" s="13"/>
      <c r="P254" s="13"/>
      <c r="Q254" s="14"/>
    </row>
    <row r="255" spans="1:17" ht="15.75" customHeight="1" x14ac:dyDescent="0.25">
      <c r="M255" s="21"/>
      <c r="N255" s="13"/>
      <c r="O255" s="13"/>
      <c r="P255" s="13"/>
      <c r="Q255" s="14"/>
    </row>
    <row r="256" spans="1:17" ht="15.75" customHeight="1" x14ac:dyDescent="0.25">
      <c r="M256" s="21"/>
      <c r="N256" s="13"/>
      <c r="O256" s="13"/>
      <c r="P256" s="13"/>
      <c r="Q256" s="14"/>
    </row>
    <row r="257" spans="13:17" ht="15.75" customHeight="1" x14ac:dyDescent="0.25">
      <c r="M257" s="21"/>
      <c r="N257" s="13"/>
      <c r="O257" s="13"/>
      <c r="P257" s="13"/>
      <c r="Q257" s="14"/>
    </row>
    <row r="258" spans="13:17" ht="15.75" customHeight="1" x14ac:dyDescent="0.25">
      <c r="M258" s="21"/>
      <c r="N258" s="13"/>
      <c r="O258" s="13"/>
      <c r="P258" s="13"/>
      <c r="Q258" s="14"/>
    </row>
    <row r="259" spans="13:17" ht="15.75" customHeight="1" x14ac:dyDescent="0.25">
      <c r="M259" s="21"/>
      <c r="N259" s="13"/>
      <c r="O259" s="13"/>
      <c r="P259" s="13"/>
      <c r="Q259" s="14"/>
    </row>
    <row r="260" spans="13:17" ht="15.75" customHeight="1" x14ac:dyDescent="0.25">
      <c r="M260" s="21"/>
      <c r="N260" s="13"/>
      <c r="O260" s="13"/>
      <c r="P260" s="13"/>
      <c r="Q260" s="14"/>
    </row>
    <row r="261" spans="13:17" ht="15.75" customHeight="1" x14ac:dyDescent="0.25">
      <c r="M261" s="21"/>
      <c r="N261" s="13"/>
      <c r="O261" s="13"/>
      <c r="P261" s="13"/>
      <c r="Q261" s="14"/>
    </row>
    <row r="262" spans="13:17" ht="15.75" customHeight="1" x14ac:dyDescent="0.25">
      <c r="M262" s="21"/>
      <c r="N262" s="13"/>
      <c r="O262" s="13"/>
      <c r="P262" s="13"/>
      <c r="Q262" s="14"/>
    </row>
    <row r="263" spans="13:17" ht="15.75" customHeight="1" x14ac:dyDescent="0.25">
      <c r="M263" s="21"/>
      <c r="N263" s="13"/>
      <c r="O263" s="13"/>
      <c r="P263" s="13"/>
      <c r="Q263" s="14"/>
    </row>
    <row r="264" spans="13:17" ht="15.75" customHeight="1" x14ac:dyDescent="0.25">
      <c r="M264" s="21"/>
      <c r="N264" s="13"/>
      <c r="O264" s="13"/>
      <c r="P264" s="13"/>
      <c r="Q264" s="14"/>
    </row>
    <row r="265" spans="13:17" ht="15.75" customHeight="1" x14ac:dyDescent="0.25">
      <c r="M265" s="21"/>
      <c r="N265" s="13"/>
      <c r="O265" s="13"/>
      <c r="P265" s="13"/>
      <c r="Q265" s="14"/>
    </row>
    <row r="266" spans="13:17" ht="15.75" customHeight="1" x14ac:dyDescent="0.25">
      <c r="M266" s="21"/>
      <c r="N266" s="13"/>
      <c r="O266" s="13"/>
      <c r="P266" s="13"/>
      <c r="Q266" s="14"/>
    </row>
    <row r="267" spans="13:17" ht="15.75" customHeight="1" x14ac:dyDescent="0.25">
      <c r="M267" s="21"/>
      <c r="N267" s="13"/>
      <c r="O267" s="13"/>
      <c r="P267" s="13"/>
      <c r="Q267" s="14"/>
    </row>
    <row r="268" spans="13:17" ht="15.75" customHeight="1" x14ac:dyDescent="0.25">
      <c r="M268" s="21"/>
      <c r="N268" s="13"/>
      <c r="O268" s="13"/>
      <c r="P268" s="13"/>
      <c r="Q268" s="14"/>
    </row>
    <row r="269" spans="13:17" ht="15.75" customHeight="1" x14ac:dyDescent="0.25">
      <c r="M269" s="21"/>
      <c r="N269" s="13"/>
      <c r="O269" s="13"/>
      <c r="P269" s="13"/>
      <c r="Q269" s="14"/>
    </row>
    <row r="270" spans="13:17" ht="15.75" customHeight="1" x14ac:dyDescent="0.25">
      <c r="M270" s="21"/>
      <c r="N270" s="13"/>
      <c r="O270" s="13"/>
      <c r="P270" s="13"/>
      <c r="Q270" s="14"/>
    </row>
    <row r="271" spans="13:17" ht="15.75" customHeight="1" x14ac:dyDescent="0.25">
      <c r="M271" s="21"/>
      <c r="N271" s="13"/>
      <c r="O271" s="13"/>
      <c r="P271" s="13"/>
      <c r="Q271" s="14"/>
    </row>
    <row r="272" spans="13:17" ht="15.75" customHeight="1" x14ac:dyDescent="0.25">
      <c r="M272" s="21"/>
      <c r="N272" s="13"/>
      <c r="O272" s="13"/>
      <c r="P272" s="13"/>
      <c r="Q272" s="14"/>
    </row>
    <row r="273" spans="13:17" ht="15.75" customHeight="1" x14ac:dyDescent="0.25">
      <c r="M273" s="21"/>
      <c r="N273" s="13"/>
      <c r="O273" s="13"/>
      <c r="P273" s="13"/>
      <c r="Q273" s="14"/>
    </row>
    <row r="274" spans="13:17" ht="15.75" customHeight="1" x14ac:dyDescent="0.25">
      <c r="M274" s="21"/>
      <c r="N274" s="13"/>
      <c r="O274" s="13"/>
      <c r="P274" s="13"/>
      <c r="Q274" s="14"/>
    </row>
    <row r="275" spans="13:17" ht="15.75" customHeight="1" x14ac:dyDescent="0.25">
      <c r="M275" s="21"/>
      <c r="N275" s="13"/>
      <c r="O275" s="13"/>
      <c r="P275" s="13"/>
      <c r="Q275" s="14"/>
    </row>
    <row r="276" spans="13:17" ht="15.75" customHeight="1" x14ac:dyDescent="0.25">
      <c r="M276" s="21"/>
      <c r="N276" s="13"/>
      <c r="O276" s="13"/>
      <c r="P276" s="13"/>
      <c r="Q276" s="14"/>
    </row>
    <row r="277" spans="13:17" ht="15.75" customHeight="1" x14ac:dyDescent="0.25">
      <c r="M277" s="21"/>
      <c r="N277" s="13"/>
      <c r="O277" s="13"/>
      <c r="P277" s="13"/>
      <c r="Q277" s="14"/>
    </row>
    <row r="278" spans="13:17" ht="15.75" customHeight="1" x14ac:dyDescent="0.25">
      <c r="M278" s="21"/>
      <c r="N278" s="13"/>
      <c r="O278" s="13"/>
      <c r="P278" s="13"/>
      <c r="Q278" s="14"/>
    </row>
    <row r="279" spans="13:17" ht="15.75" customHeight="1" x14ac:dyDescent="0.25">
      <c r="M279" s="21"/>
      <c r="N279" s="13"/>
      <c r="O279" s="13"/>
      <c r="P279" s="13"/>
      <c r="Q279" s="14"/>
    </row>
    <row r="280" spans="13:17" ht="15.75" customHeight="1" x14ac:dyDescent="0.25">
      <c r="M280" s="21"/>
      <c r="N280" s="13"/>
      <c r="O280" s="13"/>
      <c r="P280" s="13"/>
      <c r="Q280" s="14"/>
    </row>
    <row r="281" spans="13:17" ht="15.75" customHeight="1" x14ac:dyDescent="0.25">
      <c r="M281" s="21"/>
      <c r="N281" s="13"/>
      <c r="O281" s="13"/>
      <c r="P281" s="13"/>
      <c r="Q281" s="14"/>
    </row>
    <row r="282" spans="13:17" ht="15.75" customHeight="1" x14ac:dyDescent="0.25">
      <c r="M282" s="21"/>
      <c r="N282" s="13"/>
      <c r="O282" s="13"/>
      <c r="P282" s="13"/>
      <c r="Q282" s="14"/>
    </row>
    <row r="283" spans="13:17" ht="15.75" customHeight="1" x14ac:dyDescent="0.25">
      <c r="M283" s="21"/>
      <c r="N283" s="13"/>
      <c r="O283" s="13"/>
      <c r="P283" s="13"/>
      <c r="Q283" s="14"/>
    </row>
    <row r="284" spans="13:17" ht="15.75" customHeight="1" x14ac:dyDescent="0.25">
      <c r="M284" s="21"/>
      <c r="N284" s="13"/>
      <c r="O284" s="13"/>
      <c r="P284" s="13"/>
      <c r="Q284" s="14"/>
    </row>
    <row r="285" spans="13:17" ht="15.75" customHeight="1" x14ac:dyDescent="0.25">
      <c r="M285" s="21"/>
      <c r="N285" s="13"/>
      <c r="O285" s="13"/>
      <c r="P285" s="13"/>
      <c r="Q285" s="14"/>
    </row>
    <row r="286" spans="13:17" ht="15.75" customHeight="1" x14ac:dyDescent="0.25">
      <c r="M286" s="21"/>
      <c r="N286" s="13"/>
      <c r="O286" s="13"/>
      <c r="P286" s="13"/>
      <c r="Q286" s="14"/>
    </row>
    <row r="287" spans="13:17" ht="15.75" customHeight="1" x14ac:dyDescent="0.25">
      <c r="M287" s="21"/>
      <c r="N287" s="13"/>
      <c r="O287" s="13"/>
      <c r="P287" s="13"/>
      <c r="Q287" s="14"/>
    </row>
    <row r="288" spans="13:17" ht="15.75" customHeight="1" x14ac:dyDescent="0.25">
      <c r="M288" s="21"/>
      <c r="N288" s="13"/>
      <c r="O288" s="13"/>
      <c r="P288" s="13"/>
      <c r="Q288" s="14"/>
    </row>
    <row r="289" spans="13:17" ht="15.75" customHeight="1" x14ac:dyDescent="0.25">
      <c r="M289" s="21"/>
      <c r="N289" s="13"/>
      <c r="O289" s="13"/>
      <c r="P289" s="13"/>
      <c r="Q289" s="14"/>
    </row>
    <row r="290" spans="13:17" ht="15.75" customHeight="1" x14ac:dyDescent="0.25">
      <c r="M290" s="21"/>
      <c r="N290" s="13"/>
      <c r="O290" s="13"/>
      <c r="P290" s="13"/>
      <c r="Q290" s="14"/>
    </row>
    <row r="291" spans="13:17" ht="15.75" customHeight="1" x14ac:dyDescent="0.25">
      <c r="M291" s="21"/>
      <c r="N291" s="13"/>
      <c r="O291" s="13"/>
      <c r="P291" s="13"/>
      <c r="Q291" s="14"/>
    </row>
    <row r="292" spans="13:17" ht="15.75" customHeight="1" x14ac:dyDescent="0.25">
      <c r="M292" s="21"/>
      <c r="N292" s="13"/>
      <c r="O292" s="13"/>
      <c r="P292" s="13"/>
      <c r="Q292" s="14"/>
    </row>
    <row r="293" spans="13:17" ht="15.75" customHeight="1" x14ac:dyDescent="0.25">
      <c r="M293" s="21"/>
      <c r="N293" s="13"/>
      <c r="O293" s="13"/>
      <c r="P293" s="13"/>
      <c r="Q293" s="14"/>
    </row>
    <row r="294" spans="13:17" ht="15.75" customHeight="1" x14ac:dyDescent="0.25">
      <c r="M294" s="21"/>
      <c r="N294" s="13"/>
      <c r="O294" s="13"/>
      <c r="P294" s="13"/>
      <c r="Q294" s="14"/>
    </row>
    <row r="295" spans="13:17" ht="15.75" customHeight="1" x14ac:dyDescent="0.25">
      <c r="M295" s="21"/>
      <c r="N295" s="13"/>
      <c r="O295" s="13"/>
      <c r="P295" s="13"/>
      <c r="Q295" s="14"/>
    </row>
    <row r="296" spans="13:17" ht="15.75" customHeight="1" x14ac:dyDescent="0.25">
      <c r="M296" s="21"/>
      <c r="N296" s="13"/>
      <c r="O296" s="13"/>
      <c r="P296" s="13"/>
      <c r="Q296" s="14"/>
    </row>
    <row r="297" spans="13:17" ht="15.75" customHeight="1" x14ac:dyDescent="0.25">
      <c r="M297" s="21"/>
      <c r="N297" s="13"/>
      <c r="O297" s="13"/>
      <c r="P297" s="13"/>
      <c r="Q297" s="14"/>
    </row>
    <row r="298" spans="13:17" ht="15.75" customHeight="1" x14ac:dyDescent="0.25">
      <c r="M298" s="21"/>
      <c r="N298" s="13"/>
      <c r="O298" s="13"/>
      <c r="P298" s="13"/>
      <c r="Q298" s="14"/>
    </row>
    <row r="299" spans="13:17" ht="15.75" customHeight="1" x14ac:dyDescent="0.25">
      <c r="M299" s="21"/>
      <c r="N299" s="13"/>
      <c r="O299" s="13"/>
      <c r="P299" s="13"/>
      <c r="Q299" s="14"/>
    </row>
    <row r="300" spans="13:17" ht="15.75" customHeight="1" x14ac:dyDescent="0.25">
      <c r="M300" s="21"/>
      <c r="N300" s="13"/>
      <c r="O300" s="13"/>
      <c r="P300" s="13"/>
      <c r="Q300" s="14"/>
    </row>
    <row r="301" spans="13:17" ht="15.75" customHeight="1" x14ac:dyDescent="0.25">
      <c r="M301" s="21"/>
      <c r="N301" s="13"/>
      <c r="O301" s="13"/>
      <c r="P301" s="13"/>
      <c r="Q301" s="14"/>
    </row>
    <row r="302" spans="13:17" ht="15.75" customHeight="1" x14ac:dyDescent="0.25">
      <c r="M302" s="21"/>
      <c r="N302" s="13"/>
      <c r="O302" s="13"/>
      <c r="P302" s="13"/>
      <c r="Q302" s="14"/>
    </row>
    <row r="303" spans="13:17" ht="15.75" customHeight="1" x14ac:dyDescent="0.25">
      <c r="M303" s="21"/>
      <c r="N303" s="13"/>
      <c r="O303" s="13"/>
      <c r="P303" s="13"/>
      <c r="Q303" s="14"/>
    </row>
    <row r="304" spans="13:17" ht="15.75" customHeight="1" x14ac:dyDescent="0.25">
      <c r="M304" s="21"/>
      <c r="N304" s="13"/>
      <c r="O304" s="13"/>
      <c r="P304" s="13"/>
      <c r="Q304" s="14"/>
    </row>
    <row r="305" spans="13:17" ht="15.75" customHeight="1" x14ac:dyDescent="0.25">
      <c r="M305" s="21"/>
      <c r="N305" s="13"/>
      <c r="O305" s="13"/>
      <c r="P305" s="13"/>
      <c r="Q305" s="14"/>
    </row>
    <row r="306" spans="13:17" ht="15.75" customHeight="1" x14ac:dyDescent="0.25">
      <c r="M306" s="21"/>
      <c r="N306" s="13"/>
      <c r="O306" s="13"/>
      <c r="P306" s="13"/>
      <c r="Q306" s="14"/>
    </row>
    <row r="307" spans="13:17" ht="15.75" customHeight="1" x14ac:dyDescent="0.25">
      <c r="M307" s="21"/>
      <c r="N307" s="13"/>
      <c r="O307" s="13"/>
      <c r="P307" s="13"/>
      <c r="Q307" s="14"/>
    </row>
    <row r="308" spans="13:17" ht="15.75" customHeight="1" x14ac:dyDescent="0.25">
      <c r="M308" s="21"/>
      <c r="N308" s="13"/>
      <c r="O308" s="13"/>
      <c r="P308" s="13"/>
      <c r="Q308" s="14"/>
    </row>
    <row r="309" spans="13:17" ht="15.75" customHeight="1" x14ac:dyDescent="0.25">
      <c r="M309" s="21"/>
      <c r="N309" s="13"/>
      <c r="O309" s="13"/>
      <c r="P309" s="13"/>
      <c r="Q309" s="14"/>
    </row>
    <row r="310" spans="13:17" ht="15.75" customHeight="1" x14ac:dyDescent="0.25">
      <c r="M310" s="21"/>
      <c r="N310" s="13"/>
      <c r="O310" s="13"/>
      <c r="P310" s="13"/>
      <c r="Q310" s="14"/>
    </row>
    <row r="311" spans="13:17" ht="15.75" customHeight="1" x14ac:dyDescent="0.25">
      <c r="M311" s="21"/>
      <c r="N311" s="13"/>
      <c r="O311" s="13"/>
      <c r="P311" s="13"/>
      <c r="Q311" s="14"/>
    </row>
    <row r="312" spans="13:17" ht="15.75" customHeight="1" x14ac:dyDescent="0.25">
      <c r="M312" s="21"/>
      <c r="N312" s="13"/>
      <c r="O312" s="13"/>
      <c r="P312" s="13"/>
      <c r="Q312" s="14"/>
    </row>
    <row r="313" spans="13:17" ht="15.75" customHeight="1" x14ac:dyDescent="0.25">
      <c r="M313" s="21"/>
      <c r="N313" s="13"/>
      <c r="O313" s="13"/>
      <c r="P313" s="13"/>
      <c r="Q313" s="14"/>
    </row>
    <row r="314" spans="13:17" ht="15.75" customHeight="1" x14ac:dyDescent="0.25">
      <c r="M314" s="21"/>
      <c r="N314" s="13"/>
      <c r="O314" s="13"/>
      <c r="P314" s="13"/>
      <c r="Q314" s="14"/>
    </row>
    <row r="315" spans="13:17" ht="15.75" customHeight="1" x14ac:dyDescent="0.25">
      <c r="M315" s="21"/>
      <c r="N315" s="13"/>
      <c r="O315" s="13"/>
      <c r="P315" s="13"/>
      <c r="Q315" s="14"/>
    </row>
    <row r="316" spans="13:17" ht="15.75" customHeight="1" x14ac:dyDescent="0.25">
      <c r="M316" s="21"/>
      <c r="N316" s="13"/>
      <c r="O316" s="13"/>
      <c r="P316" s="13"/>
      <c r="Q316" s="14"/>
    </row>
    <row r="317" spans="13:17" ht="15.75" customHeight="1" x14ac:dyDescent="0.25">
      <c r="M317" s="21"/>
      <c r="N317" s="13"/>
      <c r="O317" s="13"/>
      <c r="P317" s="13"/>
      <c r="Q317" s="14"/>
    </row>
    <row r="318" spans="13:17" ht="15.75" customHeight="1" x14ac:dyDescent="0.25">
      <c r="M318" s="21"/>
      <c r="N318" s="13"/>
      <c r="O318" s="13"/>
      <c r="P318" s="13"/>
      <c r="Q318" s="14"/>
    </row>
    <row r="319" spans="13:17" ht="15.75" customHeight="1" x14ac:dyDescent="0.25">
      <c r="M319" s="21"/>
      <c r="N319" s="13"/>
      <c r="O319" s="13"/>
      <c r="P319" s="13"/>
      <c r="Q319" s="14"/>
    </row>
    <row r="320" spans="13:17" ht="15.75" customHeight="1" x14ac:dyDescent="0.25">
      <c r="M320" s="21"/>
      <c r="N320" s="13"/>
      <c r="O320" s="13"/>
      <c r="P320" s="13"/>
      <c r="Q320" s="14"/>
    </row>
    <row r="321" spans="13:17" ht="15.75" customHeight="1" x14ac:dyDescent="0.25">
      <c r="M321" s="21"/>
      <c r="N321" s="13"/>
      <c r="O321" s="13"/>
      <c r="P321" s="13"/>
      <c r="Q321" s="14"/>
    </row>
    <row r="322" spans="13:17" ht="15.75" customHeight="1" x14ac:dyDescent="0.25">
      <c r="M322" s="21"/>
      <c r="N322" s="13"/>
      <c r="O322" s="13"/>
      <c r="P322" s="13"/>
      <c r="Q322" s="14"/>
    </row>
    <row r="323" spans="13:17" ht="15.75" customHeight="1" x14ac:dyDescent="0.25">
      <c r="M323" s="21"/>
      <c r="N323" s="13"/>
      <c r="O323" s="13"/>
      <c r="P323" s="13"/>
      <c r="Q323" s="14"/>
    </row>
    <row r="324" spans="13:17" ht="15.75" customHeight="1" x14ac:dyDescent="0.25">
      <c r="M324" s="21"/>
      <c r="N324" s="13"/>
      <c r="O324" s="13"/>
      <c r="P324" s="13"/>
      <c r="Q324" s="14"/>
    </row>
    <row r="325" spans="13:17" ht="15.75" customHeight="1" x14ac:dyDescent="0.25">
      <c r="M325" s="21"/>
      <c r="N325" s="13"/>
      <c r="O325" s="13"/>
      <c r="P325" s="13"/>
      <c r="Q325" s="14"/>
    </row>
    <row r="326" spans="13:17" ht="15.75" customHeight="1" x14ac:dyDescent="0.25">
      <c r="M326" s="21"/>
      <c r="N326" s="13"/>
      <c r="O326" s="13"/>
      <c r="P326" s="13"/>
      <c r="Q326" s="14"/>
    </row>
    <row r="327" spans="13:17" ht="15.75" customHeight="1" x14ac:dyDescent="0.25">
      <c r="M327" s="21"/>
      <c r="N327" s="13"/>
      <c r="O327" s="13"/>
      <c r="P327" s="13"/>
      <c r="Q327" s="14"/>
    </row>
    <row r="328" spans="13:17" ht="15.75" customHeight="1" x14ac:dyDescent="0.25">
      <c r="M328" s="21"/>
      <c r="N328" s="13"/>
      <c r="O328" s="13"/>
      <c r="P328" s="13"/>
      <c r="Q328" s="14"/>
    </row>
    <row r="329" spans="13:17" ht="15.75" customHeight="1" x14ac:dyDescent="0.25">
      <c r="M329" s="21"/>
      <c r="N329" s="13"/>
      <c r="O329" s="13"/>
      <c r="P329" s="13"/>
      <c r="Q329" s="14"/>
    </row>
    <row r="330" spans="13:17" ht="15.75" customHeight="1" x14ac:dyDescent="0.25">
      <c r="M330" s="21"/>
      <c r="N330" s="13"/>
      <c r="O330" s="13"/>
      <c r="P330" s="13"/>
      <c r="Q330" s="14"/>
    </row>
    <row r="331" spans="13:17" ht="15.75" customHeight="1" x14ac:dyDescent="0.25">
      <c r="M331" s="21"/>
      <c r="N331" s="13"/>
      <c r="O331" s="13"/>
      <c r="P331" s="13"/>
      <c r="Q331" s="14"/>
    </row>
    <row r="332" spans="13:17" ht="15.75" customHeight="1" x14ac:dyDescent="0.25">
      <c r="M332" s="21"/>
      <c r="N332" s="13"/>
      <c r="O332" s="13"/>
      <c r="P332" s="13"/>
      <c r="Q332" s="14"/>
    </row>
    <row r="333" spans="13:17" ht="15.75" customHeight="1" x14ac:dyDescent="0.25">
      <c r="M333" s="21"/>
      <c r="N333" s="13"/>
      <c r="O333" s="13"/>
      <c r="P333" s="13"/>
      <c r="Q333" s="14"/>
    </row>
    <row r="334" spans="13:17" ht="15.75" customHeight="1" x14ac:dyDescent="0.25">
      <c r="M334" s="21"/>
      <c r="N334" s="13"/>
      <c r="O334" s="13"/>
      <c r="P334" s="13"/>
      <c r="Q334" s="14"/>
    </row>
    <row r="335" spans="13:17" ht="15.75" customHeight="1" x14ac:dyDescent="0.25">
      <c r="M335" s="21"/>
      <c r="N335" s="13"/>
      <c r="O335" s="13"/>
      <c r="P335" s="13"/>
      <c r="Q335" s="14"/>
    </row>
    <row r="336" spans="13:17" ht="15.75" customHeight="1" x14ac:dyDescent="0.25">
      <c r="M336" s="21"/>
      <c r="N336" s="13"/>
      <c r="O336" s="13"/>
      <c r="P336" s="13"/>
      <c r="Q336" s="14"/>
    </row>
    <row r="337" spans="13:17" ht="15.75" customHeight="1" x14ac:dyDescent="0.25">
      <c r="M337" s="21"/>
      <c r="N337" s="13"/>
      <c r="O337" s="13"/>
      <c r="P337" s="13"/>
      <c r="Q337" s="14"/>
    </row>
    <row r="338" spans="13:17" ht="15.75" customHeight="1" x14ac:dyDescent="0.25">
      <c r="M338" s="21"/>
      <c r="N338" s="13"/>
      <c r="O338" s="13"/>
      <c r="P338" s="13"/>
      <c r="Q338" s="14"/>
    </row>
    <row r="339" spans="13:17" ht="15.75" customHeight="1" x14ac:dyDescent="0.25">
      <c r="M339" s="21"/>
      <c r="N339" s="13"/>
      <c r="O339" s="13"/>
      <c r="P339" s="13"/>
      <c r="Q339" s="14"/>
    </row>
    <row r="340" spans="13:17" ht="15.75" customHeight="1" x14ac:dyDescent="0.25">
      <c r="M340" s="21"/>
      <c r="N340" s="13"/>
      <c r="O340" s="13"/>
      <c r="P340" s="13"/>
      <c r="Q340" s="14"/>
    </row>
    <row r="341" spans="13:17" ht="15.75" customHeight="1" x14ac:dyDescent="0.25">
      <c r="M341" s="21"/>
      <c r="N341" s="13"/>
      <c r="O341" s="13"/>
      <c r="P341" s="13"/>
      <c r="Q341" s="14"/>
    </row>
    <row r="342" spans="13:17" ht="15.75" customHeight="1" x14ac:dyDescent="0.25">
      <c r="M342" s="21"/>
      <c r="N342" s="13"/>
      <c r="O342" s="13"/>
      <c r="P342" s="13"/>
      <c r="Q342" s="14"/>
    </row>
    <row r="343" spans="13:17" ht="15.75" customHeight="1" x14ac:dyDescent="0.25">
      <c r="M343" s="21"/>
      <c r="N343" s="13"/>
      <c r="O343" s="13"/>
      <c r="P343" s="13"/>
      <c r="Q343" s="14"/>
    </row>
    <row r="344" spans="13:17" ht="15.75" customHeight="1" x14ac:dyDescent="0.25">
      <c r="M344" s="21"/>
      <c r="N344" s="13"/>
      <c r="O344" s="13"/>
      <c r="P344" s="13"/>
      <c r="Q344" s="14"/>
    </row>
    <row r="345" spans="13:17" ht="15.75" customHeight="1" x14ac:dyDescent="0.25">
      <c r="M345" s="21"/>
      <c r="N345" s="13"/>
      <c r="O345" s="13"/>
      <c r="P345" s="13"/>
      <c r="Q345" s="14"/>
    </row>
    <row r="346" spans="13:17" ht="15.75" customHeight="1" x14ac:dyDescent="0.25">
      <c r="M346" s="21"/>
      <c r="N346" s="13"/>
      <c r="O346" s="13"/>
      <c r="P346" s="13"/>
      <c r="Q346" s="14"/>
    </row>
    <row r="347" spans="13:17" ht="15.75" customHeight="1" x14ac:dyDescent="0.25">
      <c r="M347" s="21"/>
      <c r="N347" s="13"/>
      <c r="O347" s="13"/>
      <c r="P347" s="13"/>
      <c r="Q347" s="14"/>
    </row>
    <row r="348" spans="13:17" ht="15.75" customHeight="1" x14ac:dyDescent="0.25">
      <c r="M348" s="21"/>
      <c r="N348" s="13"/>
      <c r="O348" s="13"/>
      <c r="P348" s="13"/>
      <c r="Q348" s="14"/>
    </row>
    <row r="349" spans="13:17" ht="15.75" customHeight="1" x14ac:dyDescent="0.25">
      <c r="M349" s="21"/>
      <c r="N349" s="13"/>
      <c r="O349" s="13"/>
      <c r="P349" s="13"/>
      <c r="Q349" s="14"/>
    </row>
    <row r="350" spans="13:17" ht="15.75" customHeight="1" x14ac:dyDescent="0.25">
      <c r="M350" s="21"/>
      <c r="N350" s="13"/>
      <c r="O350" s="13"/>
      <c r="P350" s="13"/>
      <c r="Q350" s="14"/>
    </row>
    <row r="351" spans="13:17" ht="15.75" customHeight="1" x14ac:dyDescent="0.25">
      <c r="M351" s="21"/>
      <c r="N351" s="13"/>
      <c r="O351" s="13"/>
      <c r="P351" s="13"/>
      <c r="Q351" s="14"/>
    </row>
    <row r="352" spans="13:17" ht="15.75" customHeight="1" x14ac:dyDescent="0.25">
      <c r="M352" s="21"/>
      <c r="N352" s="13"/>
      <c r="O352" s="13"/>
      <c r="P352" s="13"/>
      <c r="Q352" s="14"/>
    </row>
    <row r="353" spans="13:17" ht="15.75" customHeight="1" x14ac:dyDescent="0.25">
      <c r="M353" s="21"/>
      <c r="N353" s="13"/>
      <c r="O353" s="13"/>
      <c r="P353" s="13"/>
      <c r="Q353" s="14"/>
    </row>
    <row r="354" spans="13:17" ht="15.75" customHeight="1" x14ac:dyDescent="0.25">
      <c r="M354" s="21"/>
      <c r="N354" s="13"/>
      <c r="O354" s="13"/>
      <c r="P354" s="13"/>
      <c r="Q354" s="14"/>
    </row>
    <row r="355" spans="13:17" ht="15.75" customHeight="1" x14ac:dyDescent="0.25">
      <c r="M355" s="21"/>
      <c r="N355" s="13"/>
      <c r="O355" s="13"/>
      <c r="P355" s="13"/>
      <c r="Q355" s="14"/>
    </row>
    <row r="356" spans="13:17" ht="15.75" customHeight="1" x14ac:dyDescent="0.25">
      <c r="M356" s="21"/>
      <c r="N356" s="13"/>
      <c r="O356" s="13"/>
      <c r="P356" s="13"/>
      <c r="Q356" s="14"/>
    </row>
    <row r="357" spans="13:17" ht="15.75" customHeight="1" x14ac:dyDescent="0.25">
      <c r="M357" s="21"/>
      <c r="N357" s="13"/>
      <c r="O357" s="13"/>
      <c r="P357" s="13"/>
      <c r="Q357" s="14"/>
    </row>
    <row r="358" spans="13:17" ht="15.75" customHeight="1" x14ac:dyDescent="0.25">
      <c r="M358" s="21"/>
      <c r="N358" s="13"/>
      <c r="O358" s="13"/>
      <c r="P358" s="13"/>
      <c r="Q358" s="14"/>
    </row>
    <row r="359" spans="13:17" ht="15.75" customHeight="1" x14ac:dyDescent="0.25">
      <c r="M359" s="21"/>
      <c r="N359" s="13"/>
      <c r="O359" s="13"/>
      <c r="P359" s="13"/>
      <c r="Q359" s="14"/>
    </row>
    <row r="360" spans="13:17" ht="15.75" customHeight="1" x14ac:dyDescent="0.25">
      <c r="M360" s="21"/>
      <c r="N360" s="13"/>
      <c r="O360" s="13"/>
      <c r="P360" s="13"/>
      <c r="Q360" s="14"/>
    </row>
    <row r="361" spans="13:17" ht="15.75" customHeight="1" x14ac:dyDescent="0.25">
      <c r="M361" s="21"/>
      <c r="N361" s="13"/>
      <c r="O361" s="13"/>
      <c r="P361" s="13"/>
      <c r="Q361" s="14"/>
    </row>
    <row r="362" spans="13:17" ht="15.75" customHeight="1" x14ac:dyDescent="0.25">
      <c r="M362" s="21"/>
      <c r="N362" s="13"/>
      <c r="O362" s="13"/>
      <c r="P362" s="13"/>
      <c r="Q362" s="14"/>
    </row>
    <row r="363" spans="13:17" ht="15.75" customHeight="1" x14ac:dyDescent="0.25">
      <c r="M363" s="21"/>
      <c r="N363" s="13"/>
      <c r="O363" s="13"/>
      <c r="P363" s="13"/>
      <c r="Q363" s="14"/>
    </row>
    <row r="364" spans="13:17" ht="15.75" customHeight="1" x14ac:dyDescent="0.25">
      <c r="M364" s="21"/>
      <c r="N364" s="13"/>
      <c r="O364" s="13"/>
      <c r="P364" s="13"/>
      <c r="Q364" s="14"/>
    </row>
    <row r="365" spans="13:17" ht="15.75" customHeight="1" x14ac:dyDescent="0.25">
      <c r="M365" s="21"/>
      <c r="N365" s="13"/>
      <c r="O365" s="13"/>
      <c r="P365" s="13"/>
      <c r="Q365" s="14"/>
    </row>
    <row r="366" spans="13:17" ht="15.75" customHeight="1" x14ac:dyDescent="0.25">
      <c r="M366" s="21"/>
      <c r="N366" s="13"/>
      <c r="O366" s="13"/>
      <c r="P366" s="13"/>
      <c r="Q366" s="14"/>
    </row>
    <row r="367" spans="13:17" ht="15.75" customHeight="1" x14ac:dyDescent="0.25">
      <c r="M367" s="21"/>
      <c r="N367" s="13"/>
      <c r="O367" s="13"/>
      <c r="P367" s="13"/>
      <c r="Q367" s="14"/>
    </row>
    <row r="368" spans="13:17" ht="15.75" customHeight="1" x14ac:dyDescent="0.25">
      <c r="M368" s="21"/>
      <c r="N368" s="13"/>
      <c r="O368" s="13"/>
      <c r="P368" s="13"/>
      <c r="Q368" s="14"/>
    </row>
    <row r="369" spans="13:17" ht="15.75" customHeight="1" x14ac:dyDescent="0.25">
      <c r="M369" s="21"/>
      <c r="N369" s="13"/>
      <c r="O369" s="13"/>
      <c r="P369" s="13"/>
      <c r="Q369" s="14"/>
    </row>
    <row r="370" spans="13:17" ht="15.75" customHeight="1" x14ac:dyDescent="0.25">
      <c r="M370" s="21"/>
      <c r="N370" s="13"/>
      <c r="O370" s="13"/>
      <c r="P370" s="13"/>
      <c r="Q370" s="14"/>
    </row>
    <row r="371" spans="13:17" ht="15.75" customHeight="1" x14ac:dyDescent="0.25">
      <c r="M371" s="21"/>
      <c r="N371" s="13"/>
      <c r="O371" s="13"/>
      <c r="P371" s="13"/>
      <c r="Q371" s="14"/>
    </row>
    <row r="372" spans="13:17" ht="15.75" customHeight="1" x14ac:dyDescent="0.25">
      <c r="M372" s="21"/>
      <c r="N372" s="13"/>
      <c r="O372" s="13"/>
      <c r="P372" s="13"/>
      <c r="Q372" s="14"/>
    </row>
    <row r="373" spans="13:17" ht="15.75" customHeight="1" x14ac:dyDescent="0.25">
      <c r="M373" s="21"/>
      <c r="N373" s="13"/>
      <c r="O373" s="13"/>
      <c r="P373" s="13"/>
      <c r="Q373" s="14"/>
    </row>
    <row r="374" spans="13:17" ht="15.75" customHeight="1" x14ac:dyDescent="0.25">
      <c r="M374" s="21"/>
      <c r="N374" s="13"/>
      <c r="O374" s="13"/>
      <c r="P374" s="13"/>
      <c r="Q374" s="14"/>
    </row>
    <row r="375" spans="13:17" ht="15.75" customHeight="1" x14ac:dyDescent="0.25">
      <c r="M375" s="21"/>
      <c r="N375" s="13"/>
      <c r="O375" s="13"/>
      <c r="P375" s="13"/>
      <c r="Q375" s="14"/>
    </row>
    <row r="376" spans="13:17" ht="15.75" customHeight="1" x14ac:dyDescent="0.25">
      <c r="M376" s="21"/>
      <c r="N376" s="13"/>
      <c r="O376" s="13"/>
      <c r="P376" s="13"/>
      <c r="Q376" s="14"/>
    </row>
    <row r="377" spans="13:17" ht="15.75" customHeight="1" x14ac:dyDescent="0.25">
      <c r="M377" s="21"/>
      <c r="N377" s="13"/>
      <c r="O377" s="13"/>
      <c r="P377" s="13"/>
      <c r="Q377" s="14"/>
    </row>
    <row r="378" spans="13:17" ht="15.75" customHeight="1" x14ac:dyDescent="0.25">
      <c r="M378" s="21"/>
      <c r="N378" s="13"/>
      <c r="O378" s="13"/>
      <c r="P378" s="13"/>
      <c r="Q378" s="14"/>
    </row>
    <row r="379" spans="13:17" ht="15.75" customHeight="1" x14ac:dyDescent="0.25">
      <c r="M379" s="21"/>
      <c r="N379" s="13"/>
      <c r="O379" s="13"/>
      <c r="P379" s="13"/>
      <c r="Q379" s="14"/>
    </row>
    <row r="380" spans="13:17" ht="15.75" customHeight="1" x14ac:dyDescent="0.25">
      <c r="M380" s="21"/>
      <c r="N380" s="13"/>
      <c r="O380" s="13"/>
      <c r="P380" s="13"/>
      <c r="Q380" s="14"/>
    </row>
    <row r="381" spans="13:17" ht="15.75" customHeight="1" x14ac:dyDescent="0.25">
      <c r="M381" s="21"/>
      <c r="N381" s="13"/>
      <c r="O381" s="13"/>
      <c r="P381" s="13"/>
      <c r="Q381" s="14"/>
    </row>
    <row r="382" spans="13:17" ht="15.75" customHeight="1" x14ac:dyDescent="0.25">
      <c r="M382" s="21"/>
      <c r="N382" s="13"/>
      <c r="O382" s="13"/>
      <c r="P382" s="13"/>
      <c r="Q382" s="14"/>
    </row>
    <row r="383" spans="13:17" ht="15.75" customHeight="1" x14ac:dyDescent="0.25">
      <c r="M383" s="21"/>
      <c r="N383" s="13"/>
      <c r="O383" s="13"/>
      <c r="P383" s="13"/>
      <c r="Q383" s="14"/>
    </row>
    <row r="384" spans="13:17" ht="15.75" customHeight="1" x14ac:dyDescent="0.25">
      <c r="M384" s="21"/>
      <c r="N384" s="13"/>
      <c r="O384" s="13"/>
      <c r="P384" s="13"/>
      <c r="Q384" s="14"/>
    </row>
    <row r="385" spans="13:17" ht="15.75" customHeight="1" x14ac:dyDescent="0.25">
      <c r="M385" s="21"/>
      <c r="N385" s="13"/>
      <c r="O385" s="13"/>
      <c r="P385" s="13"/>
      <c r="Q385" s="14"/>
    </row>
    <row r="386" spans="13:17" ht="15.75" customHeight="1" x14ac:dyDescent="0.25">
      <c r="M386" s="21"/>
      <c r="N386" s="13"/>
      <c r="O386" s="13"/>
      <c r="P386" s="13"/>
      <c r="Q386" s="14"/>
    </row>
    <row r="387" spans="13:17" ht="15.75" customHeight="1" x14ac:dyDescent="0.25">
      <c r="M387" s="21"/>
      <c r="N387" s="13"/>
      <c r="O387" s="13"/>
      <c r="P387" s="13"/>
      <c r="Q387" s="14"/>
    </row>
    <row r="388" spans="13:17" ht="15.75" customHeight="1" x14ac:dyDescent="0.25">
      <c r="M388" s="21"/>
      <c r="N388" s="13"/>
      <c r="O388" s="13"/>
      <c r="P388" s="13"/>
      <c r="Q388" s="14"/>
    </row>
    <row r="389" spans="13:17" ht="15.75" customHeight="1" x14ac:dyDescent="0.25">
      <c r="M389" s="21"/>
      <c r="N389" s="13"/>
      <c r="O389" s="13"/>
      <c r="P389" s="13"/>
      <c r="Q389" s="14"/>
    </row>
    <row r="390" spans="13:17" ht="15.75" customHeight="1" x14ac:dyDescent="0.25">
      <c r="M390" s="21"/>
      <c r="N390" s="13"/>
      <c r="O390" s="13"/>
      <c r="P390" s="13"/>
      <c r="Q390" s="14"/>
    </row>
    <row r="391" spans="13:17" ht="15.75" customHeight="1" x14ac:dyDescent="0.25">
      <c r="M391" s="21"/>
      <c r="N391" s="13"/>
      <c r="O391" s="13"/>
      <c r="P391" s="13"/>
      <c r="Q391" s="14"/>
    </row>
    <row r="392" spans="13:17" ht="15.75" customHeight="1" x14ac:dyDescent="0.25">
      <c r="M392" s="21"/>
      <c r="N392" s="13"/>
      <c r="O392" s="13"/>
      <c r="P392" s="13"/>
      <c r="Q392" s="14"/>
    </row>
    <row r="393" spans="13:17" ht="15.75" customHeight="1" x14ac:dyDescent="0.25">
      <c r="M393" s="21"/>
      <c r="N393" s="13"/>
      <c r="O393" s="13"/>
      <c r="P393" s="13"/>
      <c r="Q393" s="14"/>
    </row>
    <row r="394" spans="13:17" ht="15.75" customHeight="1" x14ac:dyDescent="0.25">
      <c r="M394" s="21"/>
      <c r="N394" s="13"/>
      <c r="O394" s="13"/>
      <c r="P394" s="13"/>
      <c r="Q394" s="14"/>
    </row>
    <row r="395" spans="13:17" ht="15.75" customHeight="1" x14ac:dyDescent="0.25">
      <c r="M395" s="21"/>
      <c r="N395" s="13"/>
      <c r="O395" s="13"/>
      <c r="P395" s="13"/>
      <c r="Q395" s="14"/>
    </row>
    <row r="396" spans="13:17" ht="15.75" customHeight="1" x14ac:dyDescent="0.25">
      <c r="M396" s="21"/>
      <c r="N396" s="13"/>
      <c r="O396" s="13"/>
      <c r="P396" s="13"/>
      <c r="Q396" s="14"/>
    </row>
    <row r="397" spans="13:17" ht="15.75" customHeight="1" x14ac:dyDescent="0.25">
      <c r="M397" s="21"/>
      <c r="N397" s="13"/>
      <c r="O397" s="13"/>
      <c r="P397" s="13"/>
      <c r="Q397" s="14"/>
    </row>
    <row r="398" spans="13:17" ht="15.75" customHeight="1" x14ac:dyDescent="0.25">
      <c r="M398" s="21"/>
      <c r="N398" s="13"/>
      <c r="O398" s="13"/>
      <c r="P398" s="13"/>
      <c r="Q398" s="14"/>
    </row>
    <row r="399" spans="13:17" ht="15.75" customHeight="1" x14ac:dyDescent="0.25">
      <c r="M399" s="21"/>
      <c r="N399" s="13"/>
      <c r="O399" s="13"/>
      <c r="P399" s="13"/>
      <c r="Q399" s="14"/>
    </row>
    <row r="400" spans="13:17" ht="15.75" customHeight="1" x14ac:dyDescent="0.25">
      <c r="M400" s="21"/>
      <c r="N400" s="13"/>
      <c r="O400" s="13"/>
      <c r="P400" s="13"/>
      <c r="Q400" s="14"/>
    </row>
    <row r="401" spans="13:17" ht="15.75" customHeight="1" x14ac:dyDescent="0.25">
      <c r="M401" s="21"/>
      <c r="N401" s="13"/>
      <c r="O401" s="13"/>
      <c r="P401" s="13"/>
      <c r="Q401" s="14"/>
    </row>
    <row r="402" spans="13:17" ht="15.75" customHeight="1" x14ac:dyDescent="0.25">
      <c r="M402" s="21"/>
      <c r="N402" s="13"/>
      <c r="O402" s="13"/>
      <c r="P402" s="13"/>
      <c r="Q402" s="14"/>
    </row>
    <row r="403" spans="13:17" ht="15.75" customHeight="1" x14ac:dyDescent="0.25">
      <c r="M403" s="21"/>
      <c r="N403" s="13"/>
      <c r="O403" s="13"/>
      <c r="P403" s="13"/>
      <c r="Q403" s="14"/>
    </row>
    <row r="404" spans="13:17" ht="15.75" customHeight="1" x14ac:dyDescent="0.25">
      <c r="M404" s="21"/>
      <c r="N404" s="13"/>
      <c r="O404" s="13"/>
      <c r="P404" s="13"/>
      <c r="Q404" s="14"/>
    </row>
    <row r="405" spans="13:17" ht="15.75" customHeight="1" x14ac:dyDescent="0.25">
      <c r="M405" s="21"/>
      <c r="N405" s="13"/>
      <c r="O405" s="13"/>
      <c r="P405" s="13"/>
      <c r="Q405" s="14"/>
    </row>
    <row r="406" spans="13:17" ht="15.75" customHeight="1" x14ac:dyDescent="0.25">
      <c r="M406" s="21"/>
      <c r="N406" s="13"/>
      <c r="O406" s="13"/>
      <c r="P406" s="13"/>
      <c r="Q406" s="14"/>
    </row>
    <row r="407" spans="13:17" ht="15.75" customHeight="1" x14ac:dyDescent="0.25">
      <c r="M407" s="21"/>
      <c r="N407" s="13"/>
      <c r="O407" s="13"/>
      <c r="P407" s="13"/>
      <c r="Q407" s="14"/>
    </row>
    <row r="408" spans="13:17" ht="15.75" customHeight="1" x14ac:dyDescent="0.25">
      <c r="M408" s="21"/>
      <c r="N408" s="13"/>
      <c r="O408" s="13"/>
      <c r="P408" s="13"/>
      <c r="Q408" s="14"/>
    </row>
    <row r="409" spans="13:17" ht="15.75" customHeight="1" x14ac:dyDescent="0.25">
      <c r="M409" s="21"/>
      <c r="N409" s="13"/>
      <c r="O409" s="13"/>
      <c r="P409" s="13"/>
      <c r="Q409" s="14"/>
    </row>
    <row r="410" spans="13:17" ht="15.75" customHeight="1" x14ac:dyDescent="0.25">
      <c r="M410" s="21"/>
      <c r="N410" s="13"/>
      <c r="O410" s="13"/>
      <c r="P410" s="13"/>
      <c r="Q410" s="14"/>
    </row>
    <row r="411" spans="13:17" ht="15.75" customHeight="1" x14ac:dyDescent="0.25">
      <c r="M411" s="21"/>
      <c r="N411" s="13"/>
      <c r="O411" s="13"/>
      <c r="P411" s="13"/>
      <c r="Q411" s="14"/>
    </row>
    <row r="412" spans="13:17" ht="15.75" customHeight="1" x14ac:dyDescent="0.25">
      <c r="M412" s="21"/>
      <c r="N412" s="13"/>
      <c r="O412" s="13"/>
      <c r="P412" s="13"/>
      <c r="Q412" s="14"/>
    </row>
    <row r="413" spans="13:17" ht="15.75" customHeight="1" x14ac:dyDescent="0.25">
      <c r="M413" s="21"/>
      <c r="N413" s="13"/>
      <c r="O413" s="13"/>
      <c r="P413" s="13"/>
      <c r="Q413" s="14"/>
    </row>
    <row r="414" spans="13:17" ht="15.75" customHeight="1" x14ac:dyDescent="0.25">
      <c r="M414" s="21"/>
      <c r="N414" s="13"/>
      <c r="O414" s="13"/>
      <c r="P414" s="13"/>
      <c r="Q414" s="14"/>
    </row>
    <row r="415" spans="13:17" ht="15.75" customHeight="1" x14ac:dyDescent="0.25">
      <c r="M415" s="21"/>
      <c r="N415" s="13"/>
      <c r="O415" s="13"/>
      <c r="P415" s="13"/>
      <c r="Q415" s="14"/>
    </row>
    <row r="416" spans="13:17" ht="15.75" customHeight="1" x14ac:dyDescent="0.25">
      <c r="M416" s="21"/>
      <c r="N416" s="13"/>
      <c r="O416" s="13"/>
      <c r="P416" s="13"/>
      <c r="Q416" s="14"/>
    </row>
    <row r="417" spans="13:17" ht="15.75" customHeight="1" x14ac:dyDescent="0.25">
      <c r="M417" s="21"/>
      <c r="N417" s="13"/>
      <c r="O417" s="13"/>
      <c r="P417" s="13"/>
      <c r="Q417" s="14"/>
    </row>
    <row r="418" spans="13:17" ht="15.75" customHeight="1" x14ac:dyDescent="0.25">
      <c r="M418" s="21"/>
      <c r="N418" s="13"/>
      <c r="O418" s="13"/>
      <c r="P418" s="13"/>
      <c r="Q418" s="14"/>
    </row>
    <row r="419" spans="13:17" ht="15.75" customHeight="1" x14ac:dyDescent="0.25">
      <c r="M419" s="21"/>
      <c r="N419" s="13"/>
      <c r="O419" s="13"/>
      <c r="P419" s="13"/>
      <c r="Q419" s="14"/>
    </row>
    <row r="420" spans="13:17" ht="15.75" customHeight="1" x14ac:dyDescent="0.25">
      <c r="M420" s="21"/>
      <c r="N420" s="13"/>
      <c r="O420" s="13"/>
      <c r="P420" s="13"/>
      <c r="Q420" s="14"/>
    </row>
    <row r="421" spans="13:17" ht="15.75" customHeight="1" x14ac:dyDescent="0.25">
      <c r="M421" s="21"/>
      <c r="N421" s="13"/>
      <c r="O421" s="13"/>
      <c r="P421" s="13"/>
      <c r="Q421" s="14"/>
    </row>
    <row r="422" spans="13:17" ht="15.75" customHeight="1" x14ac:dyDescent="0.25">
      <c r="M422" s="21"/>
      <c r="N422" s="13"/>
      <c r="O422" s="13"/>
      <c r="P422" s="13"/>
      <c r="Q422" s="14"/>
    </row>
    <row r="423" spans="13:17" ht="15.75" customHeight="1" x14ac:dyDescent="0.25">
      <c r="M423" s="21"/>
      <c r="N423" s="13"/>
      <c r="O423" s="13"/>
      <c r="P423" s="13"/>
      <c r="Q423" s="14"/>
    </row>
    <row r="424" spans="13:17" ht="15.75" customHeight="1" x14ac:dyDescent="0.25">
      <c r="M424" s="21"/>
      <c r="N424" s="13"/>
      <c r="O424" s="13"/>
      <c r="P424" s="13"/>
      <c r="Q424" s="14"/>
    </row>
    <row r="425" spans="13:17" ht="15.75" customHeight="1" x14ac:dyDescent="0.25">
      <c r="M425" s="21"/>
      <c r="N425" s="13"/>
      <c r="O425" s="13"/>
      <c r="P425" s="13"/>
      <c r="Q425" s="14"/>
    </row>
    <row r="426" spans="13:17" ht="15.75" customHeight="1" x14ac:dyDescent="0.25">
      <c r="M426" s="21"/>
      <c r="N426" s="13"/>
      <c r="O426" s="13"/>
      <c r="P426" s="13"/>
      <c r="Q426" s="14"/>
    </row>
    <row r="427" spans="13:17" ht="15.75" customHeight="1" x14ac:dyDescent="0.25">
      <c r="M427" s="21"/>
      <c r="N427" s="13"/>
      <c r="O427" s="13"/>
      <c r="P427" s="13"/>
      <c r="Q427" s="14"/>
    </row>
    <row r="428" spans="13:17" ht="15.75" customHeight="1" x14ac:dyDescent="0.25">
      <c r="M428" s="21"/>
      <c r="N428" s="13"/>
      <c r="O428" s="13"/>
      <c r="P428" s="13"/>
      <c r="Q428" s="14"/>
    </row>
    <row r="429" spans="13:17" ht="15.75" customHeight="1" x14ac:dyDescent="0.25">
      <c r="M429" s="21"/>
      <c r="N429" s="13"/>
      <c r="O429" s="13"/>
      <c r="P429" s="13"/>
      <c r="Q429" s="14"/>
    </row>
    <row r="430" spans="13:17" ht="15.75" customHeight="1" x14ac:dyDescent="0.25">
      <c r="M430" s="21"/>
      <c r="N430" s="13"/>
      <c r="O430" s="13"/>
      <c r="P430" s="13"/>
      <c r="Q430" s="14"/>
    </row>
    <row r="431" spans="13:17" ht="15.75" customHeight="1" x14ac:dyDescent="0.25">
      <c r="M431" s="21"/>
      <c r="N431" s="13"/>
      <c r="O431" s="13"/>
      <c r="P431" s="13"/>
      <c r="Q431" s="14"/>
    </row>
    <row r="432" spans="13:17" ht="15.75" customHeight="1" x14ac:dyDescent="0.25">
      <c r="M432" s="21"/>
      <c r="N432" s="13"/>
      <c r="O432" s="13"/>
      <c r="P432" s="13"/>
      <c r="Q432" s="14"/>
    </row>
    <row r="433" spans="13:17" ht="15.75" customHeight="1" x14ac:dyDescent="0.25">
      <c r="M433" s="21"/>
      <c r="N433" s="13"/>
      <c r="O433" s="13"/>
      <c r="P433" s="13"/>
      <c r="Q433" s="14"/>
    </row>
    <row r="434" spans="13:17" ht="15.75" customHeight="1" x14ac:dyDescent="0.25">
      <c r="M434" s="21"/>
      <c r="N434" s="13"/>
      <c r="O434" s="13"/>
      <c r="P434" s="13"/>
      <c r="Q434" s="14"/>
    </row>
    <row r="435" spans="13:17" ht="15.75" customHeight="1" x14ac:dyDescent="0.25">
      <c r="M435" s="21"/>
      <c r="N435" s="13"/>
      <c r="O435" s="13"/>
      <c r="P435" s="13"/>
      <c r="Q435" s="14"/>
    </row>
    <row r="436" spans="13:17" ht="15.75" customHeight="1" x14ac:dyDescent="0.25">
      <c r="M436" s="21"/>
      <c r="N436" s="13"/>
      <c r="O436" s="13"/>
      <c r="P436" s="13"/>
      <c r="Q436" s="14"/>
    </row>
    <row r="437" spans="13:17" ht="15.75" customHeight="1" x14ac:dyDescent="0.25">
      <c r="M437" s="21"/>
      <c r="N437" s="13"/>
      <c r="O437" s="13"/>
      <c r="P437" s="13"/>
      <c r="Q437" s="14"/>
    </row>
    <row r="438" spans="13:17" ht="15.75" customHeight="1" x14ac:dyDescent="0.25">
      <c r="M438" s="21"/>
      <c r="N438" s="13"/>
      <c r="O438" s="13"/>
      <c r="P438" s="13"/>
      <c r="Q438" s="14"/>
    </row>
    <row r="439" spans="13:17" ht="15.75" customHeight="1" x14ac:dyDescent="0.25">
      <c r="M439" s="21"/>
      <c r="N439" s="13"/>
      <c r="O439" s="13"/>
      <c r="P439" s="13"/>
      <c r="Q439" s="14"/>
    </row>
    <row r="440" spans="13:17" ht="15.75" customHeight="1" x14ac:dyDescent="0.25">
      <c r="M440" s="21"/>
      <c r="N440" s="13"/>
      <c r="O440" s="13"/>
      <c r="P440" s="13"/>
      <c r="Q440" s="14"/>
    </row>
    <row r="441" spans="13:17" ht="15.75" customHeight="1" x14ac:dyDescent="0.25">
      <c r="M441" s="21"/>
      <c r="N441" s="13"/>
      <c r="O441" s="13"/>
      <c r="P441" s="13"/>
      <c r="Q441" s="14"/>
    </row>
    <row r="442" spans="13:17" ht="15.75" customHeight="1" x14ac:dyDescent="0.25">
      <c r="M442" s="21"/>
      <c r="N442" s="13"/>
      <c r="O442" s="13"/>
      <c r="P442" s="13"/>
      <c r="Q442" s="14"/>
    </row>
    <row r="443" spans="13:17" ht="15.75" customHeight="1" x14ac:dyDescent="0.25">
      <c r="M443" s="21"/>
      <c r="N443" s="13"/>
      <c r="O443" s="13"/>
      <c r="P443" s="13"/>
      <c r="Q443" s="14"/>
    </row>
    <row r="444" spans="13:17" ht="15.75" customHeight="1" x14ac:dyDescent="0.25">
      <c r="M444" s="21"/>
      <c r="N444" s="13"/>
      <c r="O444" s="13"/>
      <c r="P444" s="13"/>
      <c r="Q444" s="14"/>
    </row>
    <row r="445" spans="13:17" ht="15.75" customHeight="1" x14ac:dyDescent="0.25">
      <c r="M445" s="21"/>
      <c r="N445" s="13"/>
      <c r="O445" s="13"/>
      <c r="P445" s="13"/>
      <c r="Q445" s="14"/>
    </row>
    <row r="446" spans="13:17" ht="15.75" customHeight="1" x14ac:dyDescent="0.25">
      <c r="M446" s="21"/>
      <c r="N446" s="13"/>
      <c r="O446" s="13"/>
      <c r="P446" s="13"/>
      <c r="Q446" s="14"/>
    </row>
    <row r="447" spans="13:17" ht="15.75" customHeight="1" x14ac:dyDescent="0.25">
      <c r="M447" s="21"/>
      <c r="N447" s="13"/>
      <c r="O447" s="13"/>
      <c r="P447" s="13"/>
      <c r="Q447" s="14"/>
    </row>
    <row r="448" spans="13:17" ht="15.75" customHeight="1" x14ac:dyDescent="0.25">
      <c r="M448" s="21"/>
      <c r="N448" s="13"/>
      <c r="O448" s="13"/>
      <c r="P448" s="13"/>
      <c r="Q448" s="14"/>
    </row>
    <row r="449" spans="13:17" ht="15.75" customHeight="1" x14ac:dyDescent="0.25">
      <c r="M449" s="21"/>
      <c r="N449" s="13"/>
      <c r="O449" s="13"/>
      <c r="P449" s="13"/>
      <c r="Q449" s="14"/>
    </row>
    <row r="450" spans="13:17" ht="15.75" customHeight="1" x14ac:dyDescent="0.25">
      <c r="M450" s="21"/>
      <c r="N450" s="13"/>
      <c r="O450" s="13"/>
      <c r="P450" s="13"/>
      <c r="Q450" s="14"/>
    </row>
    <row r="451" spans="13:17" ht="15.75" customHeight="1" x14ac:dyDescent="0.25">
      <c r="M451" s="21"/>
      <c r="N451" s="13"/>
      <c r="O451" s="13"/>
      <c r="P451" s="13"/>
      <c r="Q451" s="14"/>
    </row>
    <row r="452" spans="13:17" ht="15.75" customHeight="1" x14ac:dyDescent="0.25">
      <c r="M452" s="21"/>
      <c r="N452" s="13"/>
      <c r="O452" s="13"/>
      <c r="P452" s="13"/>
      <c r="Q452" s="14"/>
    </row>
    <row r="453" spans="13:17" ht="15.75" customHeight="1" x14ac:dyDescent="0.25">
      <c r="M453" s="21"/>
      <c r="N453" s="13"/>
      <c r="O453" s="13"/>
      <c r="P453" s="13"/>
      <c r="Q453" s="14"/>
    </row>
    <row r="454" spans="13:17" ht="15.75" customHeight="1" x14ac:dyDescent="0.25">
      <c r="M454" s="21"/>
      <c r="N454" s="13"/>
      <c r="O454" s="13"/>
      <c r="P454" s="13"/>
      <c r="Q454" s="14"/>
    </row>
    <row r="455" spans="13:17" ht="15.75" customHeight="1" x14ac:dyDescent="0.25">
      <c r="M455" s="21"/>
      <c r="N455" s="13"/>
      <c r="O455" s="13"/>
      <c r="P455" s="13"/>
      <c r="Q455" s="14"/>
    </row>
    <row r="456" spans="13:17" ht="15.75" customHeight="1" x14ac:dyDescent="0.25">
      <c r="M456" s="21"/>
      <c r="N456" s="13"/>
      <c r="O456" s="13"/>
      <c r="P456" s="13"/>
      <c r="Q456" s="14"/>
    </row>
    <row r="457" spans="13:17" ht="15.75" customHeight="1" x14ac:dyDescent="0.25">
      <c r="M457" s="21"/>
      <c r="N457" s="13"/>
      <c r="O457" s="13"/>
      <c r="P457" s="13"/>
      <c r="Q457" s="14"/>
    </row>
    <row r="458" spans="13:17" ht="15.75" customHeight="1" x14ac:dyDescent="0.25">
      <c r="M458" s="21"/>
      <c r="N458" s="13"/>
      <c r="O458" s="13"/>
      <c r="P458" s="13"/>
      <c r="Q458" s="14"/>
    </row>
    <row r="459" spans="13:17" ht="15.75" customHeight="1" x14ac:dyDescent="0.25">
      <c r="M459" s="21"/>
      <c r="N459" s="13"/>
      <c r="O459" s="13"/>
      <c r="P459" s="13"/>
      <c r="Q459" s="14"/>
    </row>
    <row r="460" spans="13:17" ht="15.75" customHeight="1" x14ac:dyDescent="0.25">
      <c r="M460" s="21"/>
      <c r="N460" s="13"/>
      <c r="O460" s="13"/>
      <c r="P460" s="13"/>
      <c r="Q460" s="14"/>
    </row>
    <row r="461" spans="13:17" ht="15.75" customHeight="1" x14ac:dyDescent="0.25">
      <c r="M461" s="21"/>
      <c r="N461" s="13"/>
      <c r="O461" s="13"/>
      <c r="P461" s="13"/>
      <c r="Q461" s="14"/>
    </row>
    <row r="462" spans="13:17" ht="15.75" customHeight="1" x14ac:dyDescent="0.25">
      <c r="M462" s="21"/>
      <c r="N462" s="13"/>
      <c r="O462" s="13"/>
      <c r="P462" s="13"/>
      <c r="Q462" s="14"/>
    </row>
    <row r="463" spans="13:17" ht="15.75" customHeight="1" x14ac:dyDescent="0.25">
      <c r="M463" s="21"/>
      <c r="N463" s="13"/>
      <c r="O463" s="13"/>
      <c r="P463" s="13"/>
      <c r="Q463" s="14"/>
    </row>
    <row r="464" spans="13:17" ht="15.75" customHeight="1" x14ac:dyDescent="0.25">
      <c r="M464" s="21"/>
      <c r="N464" s="13"/>
      <c r="O464" s="13"/>
      <c r="P464" s="13"/>
      <c r="Q464" s="14"/>
    </row>
    <row r="465" spans="13:17" ht="15.75" customHeight="1" x14ac:dyDescent="0.25">
      <c r="M465" s="21"/>
      <c r="N465" s="13"/>
      <c r="O465" s="13"/>
      <c r="P465" s="13"/>
      <c r="Q465" s="14"/>
    </row>
    <row r="466" spans="13:17" ht="15.75" customHeight="1" x14ac:dyDescent="0.25">
      <c r="M466" s="21"/>
      <c r="N466" s="13"/>
      <c r="O466" s="13"/>
      <c r="P466" s="13"/>
      <c r="Q466" s="14"/>
    </row>
    <row r="467" spans="13:17" ht="15.75" customHeight="1" x14ac:dyDescent="0.25">
      <c r="M467" s="21"/>
      <c r="N467" s="13"/>
      <c r="O467" s="13"/>
      <c r="P467" s="13"/>
      <c r="Q467" s="14"/>
    </row>
    <row r="468" spans="13:17" ht="15.75" customHeight="1" x14ac:dyDescent="0.25">
      <c r="M468" s="21"/>
      <c r="N468" s="13"/>
      <c r="O468" s="13"/>
      <c r="P468" s="13"/>
      <c r="Q468" s="14"/>
    </row>
    <row r="469" spans="13:17" ht="15.75" customHeight="1" x14ac:dyDescent="0.25">
      <c r="M469" s="21"/>
      <c r="N469" s="13"/>
      <c r="O469" s="13"/>
      <c r="P469" s="13"/>
      <c r="Q469" s="14"/>
    </row>
    <row r="470" spans="13:17" ht="15.75" customHeight="1" x14ac:dyDescent="0.25">
      <c r="M470" s="21"/>
      <c r="N470" s="13"/>
      <c r="O470" s="13"/>
      <c r="P470" s="13"/>
      <c r="Q470" s="14"/>
    </row>
    <row r="471" spans="13:17" ht="15.75" customHeight="1" x14ac:dyDescent="0.25">
      <c r="M471" s="21"/>
      <c r="N471" s="13"/>
      <c r="O471" s="13"/>
      <c r="P471" s="13"/>
      <c r="Q471" s="14"/>
    </row>
    <row r="472" spans="13:17" ht="15.75" customHeight="1" x14ac:dyDescent="0.25">
      <c r="M472" s="21"/>
      <c r="N472" s="13"/>
      <c r="O472" s="13"/>
      <c r="P472" s="13"/>
      <c r="Q472" s="14"/>
    </row>
    <row r="473" spans="13:17" ht="15.75" customHeight="1" x14ac:dyDescent="0.25">
      <c r="M473" s="21"/>
      <c r="N473" s="13"/>
      <c r="O473" s="13"/>
      <c r="P473" s="13"/>
      <c r="Q473" s="14"/>
    </row>
    <row r="474" spans="13:17" ht="15.75" customHeight="1" x14ac:dyDescent="0.25">
      <c r="M474" s="21"/>
      <c r="N474" s="13"/>
      <c r="O474" s="13"/>
      <c r="P474" s="13"/>
      <c r="Q474" s="14"/>
    </row>
    <row r="475" spans="13:17" ht="15.75" customHeight="1" x14ac:dyDescent="0.25">
      <c r="M475" s="21"/>
      <c r="N475" s="13"/>
      <c r="O475" s="13"/>
      <c r="P475" s="13"/>
      <c r="Q475" s="14"/>
    </row>
    <row r="476" spans="13:17" ht="15.75" customHeight="1" x14ac:dyDescent="0.25">
      <c r="M476" s="21"/>
      <c r="N476" s="13"/>
      <c r="O476" s="13"/>
      <c r="P476" s="13"/>
      <c r="Q476" s="14"/>
    </row>
    <row r="477" spans="13:17" ht="15.75" customHeight="1" x14ac:dyDescent="0.25">
      <c r="M477" s="21"/>
      <c r="N477" s="13"/>
      <c r="O477" s="13"/>
      <c r="P477" s="13"/>
      <c r="Q477" s="14"/>
    </row>
    <row r="478" spans="13:17" ht="15.75" customHeight="1" x14ac:dyDescent="0.25">
      <c r="M478" s="21"/>
      <c r="N478" s="13"/>
      <c r="O478" s="13"/>
      <c r="P478" s="13"/>
      <c r="Q478" s="14"/>
    </row>
    <row r="479" spans="13:17" ht="15.75" customHeight="1" x14ac:dyDescent="0.25">
      <c r="M479" s="21"/>
      <c r="N479" s="13"/>
      <c r="O479" s="13"/>
      <c r="P479" s="13"/>
      <c r="Q479" s="14"/>
    </row>
    <row r="480" spans="13:17" ht="15.75" customHeight="1" x14ac:dyDescent="0.25">
      <c r="M480" s="21"/>
      <c r="N480" s="13"/>
      <c r="O480" s="13"/>
      <c r="P480" s="13"/>
      <c r="Q480" s="14"/>
    </row>
    <row r="481" spans="13:17" ht="15.75" customHeight="1" x14ac:dyDescent="0.25">
      <c r="M481" s="21"/>
      <c r="N481" s="13"/>
      <c r="O481" s="13"/>
      <c r="P481" s="13"/>
      <c r="Q481" s="14"/>
    </row>
    <row r="482" spans="13:17" ht="15.75" customHeight="1" x14ac:dyDescent="0.25">
      <c r="M482" s="21"/>
      <c r="N482" s="13"/>
      <c r="O482" s="13"/>
      <c r="P482" s="13"/>
      <c r="Q482" s="14"/>
    </row>
    <row r="483" spans="13:17" ht="15.75" customHeight="1" x14ac:dyDescent="0.25">
      <c r="M483" s="21"/>
      <c r="N483" s="13"/>
      <c r="O483" s="13"/>
      <c r="P483" s="13"/>
      <c r="Q483" s="14"/>
    </row>
    <row r="484" spans="13:17" ht="15.75" customHeight="1" x14ac:dyDescent="0.25">
      <c r="M484" s="21"/>
      <c r="N484" s="13"/>
      <c r="O484" s="13"/>
      <c r="P484" s="13"/>
      <c r="Q484" s="14"/>
    </row>
    <row r="485" spans="13:17" ht="15.75" customHeight="1" x14ac:dyDescent="0.25">
      <c r="M485" s="21"/>
      <c r="N485" s="13"/>
      <c r="O485" s="13"/>
      <c r="P485" s="13"/>
      <c r="Q485" s="14"/>
    </row>
    <row r="486" spans="13:17" ht="15.75" customHeight="1" x14ac:dyDescent="0.25">
      <c r="M486" s="21"/>
      <c r="N486" s="13"/>
      <c r="O486" s="13"/>
      <c r="P486" s="13"/>
      <c r="Q486" s="14"/>
    </row>
    <row r="487" spans="13:17" ht="15.75" customHeight="1" x14ac:dyDescent="0.25">
      <c r="M487" s="21"/>
      <c r="N487" s="13"/>
      <c r="O487" s="13"/>
      <c r="P487" s="13"/>
      <c r="Q487" s="14"/>
    </row>
    <row r="488" spans="13:17" ht="15.75" customHeight="1" x14ac:dyDescent="0.25">
      <c r="M488" s="21"/>
      <c r="N488" s="13"/>
      <c r="O488" s="13"/>
      <c r="P488" s="13"/>
      <c r="Q488" s="14"/>
    </row>
    <row r="489" spans="13:17" ht="15.75" customHeight="1" x14ac:dyDescent="0.25">
      <c r="M489" s="21"/>
      <c r="N489" s="13"/>
      <c r="O489" s="13"/>
      <c r="P489" s="13"/>
      <c r="Q489" s="14"/>
    </row>
    <row r="490" spans="13:17" ht="15.75" customHeight="1" x14ac:dyDescent="0.25">
      <c r="M490" s="21"/>
      <c r="N490" s="13"/>
      <c r="O490" s="13"/>
      <c r="P490" s="13"/>
      <c r="Q490" s="14"/>
    </row>
    <row r="491" spans="13:17" ht="15.75" customHeight="1" x14ac:dyDescent="0.25">
      <c r="M491" s="21"/>
      <c r="N491" s="13"/>
      <c r="O491" s="13"/>
      <c r="P491" s="13"/>
      <c r="Q491" s="14"/>
    </row>
    <row r="492" spans="13:17" ht="15.75" customHeight="1" x14ac:dyDescent="0.25">
      <c r="M492" s="21"/>
      <c r="N492" s="13"/>
      <c r="O492" s="13"/>
      <c r="P492" s="13"/>
      <c r="Q492" s="14"/>
    </row>
    <row r="493" spans="13:17" ht="15.75" customHeight="1" x14ac:dyDescent="0.25">
      <c r="M493" s="21"/>
      <c r="N493" s="13"/>
      <c r="O493" s="13"/>
      <c r="P493" s="13"/>
      <c r="Q493" s="14"/>
    </row>
    <row r="494" spans="13:17" ht="15.75" customHeight="1" x14ac:dyDescent="0.25">
      <c r="M494" s="21"/>
      <c r="N494" s="13"/>
      <c r="O494" s="13"/>
      <c r="P494" s="13"/>
      <c r="Q494" s="14"/>
    </row>
    <row r="495" spans="13:17" ht="15.75" customHeight="1" x14ac:dyDescent="0.25">
      <c r="M495" s="21"/>
      <c r="N495" s="13"/>
      <c r="O495" s="13"/>
      <c r="P495" s="13"/>
      <c r="Q495" s="14"/>
    </row>
    <row r="496" spans="13:17" ht="15.75" customHeight="1" x14ac:dyDescent="0.25">
      <c r="M496" s="21"/>
      <c r="N496" s="13"/>
      <c r="O496" s="13"/>
      <c r="P496" s="13"/>
      <c r="Q496" s="14"/>
    </row>
    <row r="497" spans="13:17" ht="15.75" customHeight="1" x14ac:dyDescent="0.25">
      <c r="M497" s="21"/>
      <c r="N497" s="13"/>
      <c r="O497" s="13"/>
      <c r="P497" s="13"/>
      <c r="Q497" s="14"/>
    </row>
    <row r="498" spans="13:17" ht="15.75" customHeight="1" x14ac:dyDescent="0.25">
      <c r="M498" s="21"/>
      <c r="N498" s="13"/>
      <c r="O498" s="13"/>
      <c r="P498" s="13"/>
      <c r="Q498" s="14"/>
    </row>
    <row r="499" spans="13:17" ht="15.75" customHeight="1" x14ac:dyDescent="0.25">
      <c r="M499" s="21"/>
      <c r="N499" s="13"/>
      <c r="O499" s="13"/>
      <c r="P499" s="13"/>
      <c r="Q499" s="14"/>
    </row>
    <row r="500" spans="13:17" ht="15.75" customHeight="1" x14ac:dyDescent="0.25">
      <c r="M500" s="21"/>
      <c r="N500" s="13"/>
      <c r="O500" s="13"/>
      <c r="P500" s="13"/>
      <c r="Q500" s="14"/>
    </row>
    <row r="501" spans="13:17" ht="15.75" customHeight="1" x14ac:dyDescent="0.25">
      <c r="M501" s="21"/>
      <c r="N501" s="13"/>
      <c r="O501" s="13"/>
      <c r="P501" s="13"/>
      <c r="Q501" s="14"/>
    </row>
    <row r="502" spans="13:17" ht="15.75" customHeight="1" x14ac:dyDescent="0.25">
      <c r="M502" s="21"/>
      <c r="N502" s="13"/>
      <c r="O502" s="13"/>
      <c r="P502" s="13"/>
      <c r="Q502" s="14"/>
    </row>
    <row r="503" spans="13:17" ht="15.75" customHeight="1" x14ac:dyDescent="0.25">
      <c r="M503" s="21"/>
      <c r="N503" s="13"/>
      <c r="O503" s="13"/>
      <c r="P503" s="13"/>
      <c r="Q503" s="14"/>
    </row>
    <row r="504" spans="13:17" ht="15.75" customHeight="1" x14ac:dyDescent="0.25">
      <c r="M504" s="21"/>
      <c r="N504" s="13"/>
      <c r="O504" s="13"/>
      <c r="P504" s="13"/>
      <c r="Q504" s="14"/>
    </row>
    <row r="505" spans="13:17" ht="15.75" customHeight="1" x14ac:dyDescent="0.25">
      <c r="M505" s="21"/>
      <c r="N505" s="13"/>
      <c r="O505" s="13"/>
      <c r="P505" s="13"/>
      <c r="Q505" s="14"/>
    </row>
    <row r="506" spans="13:17" ht="15.75" customHeight="1" x14ac:dyDescent="0.25">
      <c r="M506" s="21"/>
      <c r="N506" s="13"/>
      <c r="O506" s="13"/>
      <c r="P506" s="13"/>
      <c r="Q506" s="14"/>
    </row>
    <row r="507" spans="13:17" ht="15.75" customHeight="1" x14ac:dyDescent="0.25">
      <c r="M507" s="21"/>
      <c r="N507" s="13"/>
      <c r="O507" s="13"/>
      <c r="P507" s="13"/>
      <c r="Q507" s="14"/>
    </row>
    <row r="508" spans="13:17" ht="15.75" customHeight="1" x14ac:dyDescent="0.25">
      <c r="M508" s="21"/>
      <c r="N508" s="13"/>
      <c r="O508" s="13"/>
      <c r="P508" s="13"/>
      <c r="Q508" s="14"/>
    </row>
    <row r="509" spans="13:17" ht="15.75" customHeight="1" x14ac:dyDescent="0.25">
      <c r="M509" s="21"/>
      <c r="N509" s="13"/>
      <c r="O509" s="13"/>
      <c r="P509" s="13"/>
      <c r="Q509" s="14"/>
    </row>
    <row r="510" spans="13:17" ht="15.75" customHeight="1" x14ac:dyDescent="0.25">
      <c r="M510" s="21"/>
      <c r="N510" s="13"/>
      <c r="O510" s="13"/>
      <c r="P510" s="13"/>
      <c r="Q510" s="14"/>
    </row>
    <row r="511" spans="13:17" ht="15.75" customHeight="1" x14ac:dyDescent="0.25">
      <c r="M511" s="21"/>
      <c r="N511" s="13"/>
      <c r="O511" s="13"/>
      <c r="P511" s="13"/>
      <c r="Q511" s="14"/>
    </row>
    <row r="512" spans="13:17" ht="15.75" customHeight="1" x14ac:dyDescent="0.25">
      <c r="M512" s="21"/>
      <c r="N512" s="13"/>
      <c r="O512" s="13"/>
      <c r="P512" s="13"/>
      <c r="Q512" s="14"/>
    </row>
    <row r="513" spans="13:17" ht="15.75" customHeight="1" x14ac:dyDescent="0.25">
      <c r="M513" s="21"/>
      <c r="N513" s="13"/>
      <c r="O513" s="13"/>
      <c r="P513" s="13"/>
      <c r="Q513" s="14"/>
    </row>
    <row r="514" spans="13:17" ht="15.75" customHeight="1" x14ac:dyDescent="0.25">
      <c r="M514" s="21"/>
      <c r="N514" s="13"/>
      <c r="O514" s="13"/>
      <c r="P514" s="13"/>
      <c r="Q514" s="14"/>
    </row>
    <row r="515" spans="13:17" ht="15.75" customHeight="1" x14ac:dyDescent="0.25">
      <c r="M515" s="21"/>
      <c r="N515" s="13"/>
      <c r="O515" s="13"/>
      <c r="P515" s="13"/>
      <c r="Q515" s="14"/>
    </row>
    <row r="516" spans="13:17" ht="15.75" customHeight="1" x14ac:dyDescent="0.25">
      <c r="M516" s="21"/>
      <c r="N516" s="13"/>
      <c r="O516" s="13"/>
      <c r="P516" s="13"/>
      <c r="Q516" s="14"/>
    </row>
    <row r="517" spans="13:17" ht="15.75" customHeight="1" x14ac:dyDescent="0.25">
      <c r="M517" s="21"/>
      <c r="N517" s="13"/>
      <c r="O517" s="13"/>
      <c r="P517" s="13"/>
      <c r="Q517" s="14"/>
    </row>
    <row r="518" spans="13:17" ht="15.75" customHeight="1" x14ac:dyDescent="0.25">
      <c r="M518" s="21"/>
      <c r="N518" s="13"/>
      <c r="O518" s="13"/>
      <c r="P518" s="13"/>
      <c r="Q518" s="14"/>
    </row>
    <row r="519" spans="13:17" ht="15.75" customHeight="1" x14ac:dyDescent="0.25">
      <c r="M519" s="21"/>
      <c r="N519" s="13"/>
      <c r="O519" s="13"/>
      <c r="P519" s="13"/>
      <c r="Q519" s="14"/>
    </row>
    <row r="520" spans="13:17" ht="15.75" customHeight="1" x14ac:dyDescent="0.25">
      <c r="M520" s="21"/>
      <c r="N520" s="13"/>
      <c r="O520" s="13"/>
      <c r="P520" s="13"/>
      <c r="Q520" s="14"/>
    </row>
    <row r="521" spans="13:17" ht="15.75" customHeight="1" x14ac:dyDescent="0.25">
      <c r="M521" s="21"/>
      <c r="N521" s="13"/>
      <c r="O521" s="13"/>
      <c r="P521" s="13"/>
      <c r="Q521" s="14"/>
    </row>
    <row r="522" spans="13:17" ht="15.75" customHeight="1" x14ac:dyDescent="0.25">
      <c r="M522" s="21"/>
      <c r="N522" s="13"/>
      <c r="O522" s="13"/>
      <c r="P522" s="13"/>
      <c r="Q522" s="14"/>
    </row>
    <row r="523" spans="13:17" ht="15.75" customHeight="1" x14ac:dyDescent="0.25">
      <c r="M523" s="21"/>
      <c r="N523" s="13"/>
      <c r="O523" s="13"/>
      <c r="P523" s="13"/>
      <c r="Q523" s="14"/>
    </row>
    <row r="524" spans="13:17" ht="15.75" customHeight="1" x14ac:dyDescent="0.25">
      <c r="M524" s="21"/>
      <c r="N524" s="13"/>
      <c r="O524" s="13"/>
      <c r="P524" s="13"/>
      <c r="Q524" s="14"/>
    </row>
    <row r="525" spans="13:17" ht="15.75" customHeight="1" x14ac:dyDescent="0.25">
      <c r="M525" s="21"/>
      <c r="N525" s="13"/>
      <c r="O525" s="13"/>
      <c r="P525" s="13"/>
      <c r="Q525" s="14"/>
    </row>
    <row r="526" spans="13:17" ht="15.75" customHeight="1" x14ac:dyDescent="0.25">
      <c r="M526" s="21"/>
      <c r="N526" s="13"/>
      <c r="O526" s="13"/>
      <c r="P526" s="13"/>
      <c r="Q526" s="14"/>
    </row>
    <row r="527" spans="13:17" ht="15.75" customHeight="1" x14ac:dyDescent="0.25">
      <c r="M527" s="21"/>
      <c r="N527" s="13"/>
      <c r="O527" s="13"/>
      <c r="P527" s="13"/>
      <c r="Q527" s="14"/>
    </row>
    <row r="528" spans="13:17" ht="15.75" customHeight="1" x14ac:dyDescent="0.25">
      <c r="M528" s="21"/>
      <c r="N528" s="13"/>
      <c r="O528" s="13"/>
      <c r="P528" s="13"/>
      <c r="Q528" s="14"/>
    </row>
    <row r="529" spans="13:17" ht="15.75" customHeight="1" x14ac:dyDescent="0.25">
      <c r="M529" s="21"/>
      <c r="N529" s="13"/>
      <c r="O529" s="13"/>
      <c r="P529" s="13"/>
      <c r="Q529" s="14"/>
    </row>
    <row r="530" spans="13:17" ht="15.75" customHeight="1" x14ac:dyDescent="0.25">
      <c r="M530" s="21"/>
      <c r="N530" s="13"/>
      <c r="O530" s="13"/>
      <c r="P530" s="13"/>
      <c r="Q530" s="14"/>
    </row>
    <row r="531" spans="13:17" ht="15.75" customHeight="1" x14ac:dyDescent="0.25">
      <c r="M531" s="21"/>
      <c r="N531" s="13"/>
      <c r="O531" s="13"/>
      <c r="P531" s="13"/>
      <c r="Q531" s="14"/>
    </row>
    <row r="532" spans="13:17" ht="15.75" customHeight="1" x14ac:dyDescent="0.25">
      <c r="M532" s="21"/>
      <c r="N532" s="13"/>
      <c r="O532" s="13"/>
      <c r="P532" s="13"/>
      <c r="Q532" s="14"/>
    </row>
    <row r="533" spans="13:17" ht="15.75" customHeight="1" x14ac:dyDescent="0.25">
      <c r="M533" s="21"/>
      <c r="N533" s="13"/>
      <c r="O533" s="13"/>
      <c r="P533" s="13"/>
      <c r="Q533" s="14"/>
    </row>
    <row r="534" spans="13:17" ht="15.75" customHeight="1" x14ac:dyDescent="0.25">
      <c r="M534" s="21"/>
      <c r="N534" s="13"/>
      <c r="O534" s="13"/>
      <c r="P534" s="13"/>
      <c r="Q534" s="14"/>
    </row>
    <row r="535" spans="13:17" ht="15.75" customHeight="1" x14ac:dyDescent="0.25">
      <c r="M535" s="21"/>
      <c r="N535" s="13"/>
      <c r="O535" s="13"/>
      <c r="P535" s="13"/>
      <c r="Q535" s="14"/>
    </row>
    <row r="536" spans="13:17" ht="15.75" customHeight="1" x14ac:dyDescent="0.25">
      <c r="M536" s="21"/>
      <c r="N536" s="13"/>
      <c r="O536" s="13"/>
      <c r="P536" s="13"/>
      <c r="Q536" s="14"/>
    </row>
    <row r="537" spans="13:17" ht="15.75" customHeight="1" x14ac:dyDescent="0.25">
      <c r="M537" s="21"/>
      <c r="N537" s="13"/>
      <c r="O537" s="13"/>
      <c r="P537" s="13"/>
      <c r="Q537" s="14"/>
    </row>
    <row r="538" spans="13:17" ht="15.75" customHeight="1" x14ac:dyDescent="0.25">
      <c r="M538" s="21"/>
      <c r="N538" s="13"/>
      <c r="O538" s="13"/>
      <c r="P538" s="13"/>
      <c r="Q538" s="14"/>
    </row>
    <row r="539" spans="13:17" ht="15.75" customHeight="1" x14ac:dyDescent="0.25">
      <c r="M539" s="21"/>
      <c r="N539" s="13"/>
      <c r="O539" s="13"/>
      <c r="P539" s="13"/>
      <c r="Q539" s="14"/>
    </row>
    <row r="540" spans="13:17" ht="15.75" customHeight="1" x14ac:dyDescent="0.25">
      <c r="M540" s="21"/>
      <c r="N540" s="13"/>
      <c r="O540" s="13"/>
      <c r="P540" s="13"/>
      <c r="Q540" s="14"/>
    </row>
    <row r="541" spans="13:17" ht="15.75" customHeight="1" x14ac:dyDescent="0.25">
      <c r="M541" s="21"/>
      <c r="N541" s="13"/>
      <c r="O541" s="13"/>
      <c r="P541" s="13"/>
      <c r="Q541" s="14"/>
    </row>
    <row r="542" spans="13:17" ht="15.75" customHeight="1" x14ac:dyDescent="0.25">
      <c r="M542" s="21"/>
      <c r="N542" s="13"/>
      <c r="O542" s="13"/>
      <c r="P542" s="13"/>
      <c r="Q542" s="14"/>
    </row>
    <row r="543" spans="13:17" ht="15.75" customHeight="1" x14ac:dyDescent="0.25">
      <c r="M543" s="21"/>
      <c r="N543" s="13"/>
      <c r="O543" s="13"/>
      <c r="P543" s="13"/>
      <c r="Q543" s="14"/>
    </row>
    <row r="544" spans="13:17" ht="15.75" customHeight="1" x14ac:dyDescent="0.25">
      <c r="M544" s="21"/>
      <c r="N544" s="13"/>
      <c r="O544" s="13"/>
      <c r="P544" s="13"/>
      <c r="Q544" s="14"/>
    </row>
    <row r="545" spans="13:17" ht="15.75" customHeight="1" x14ac:dyDescent="0.25">
      <c r="M545" s="21"/>
      <c r="N545" s="13"/>
      <c r="O545" s="13"/>
      <c r="P545" s="13"/>
      <c r="Q545" s="14"/>
    </row>
    <row r="546" spans="13:17" ht="15.75" customHeight="1" x14ac:dyDescent="0.25">
      <c r="M546" s="21"/>
      <c r="N546" s="13"/>
      <c r="O546" s="13"/>
      <c r="P546" s="13"/>
      <c r="Q546" s="14"/>
    </row>
    <row r="547" spans="13:17" ht="15.75" customHeight="1" x14ac:dyDescent="0.25">
      <c r="M547" s="21"/>
      <c r="N547" s="13"/>
      <c r="O547" s="13"/>
      <c r="P547" s="13"/>
      <c r="Q547" s="14"/>
    </row>
    <row r="548" spans="13:17" ht="15.75" customHeight="1" x14ac:dyDescent="0.25">
      <c r="M548" s="21"/>
      <c r="N548" s="13"/>
      <c r="O548" s="13"/>
      <c r="P548" s="13"/>
      <c r="Q548" s="14"/>
    </row>
    <row r="549" spans="13:17" ht="15.75" customHeight="1" x14ac:dyDescent="0.25">
      <c r="M549" s="21"/>
      <c r="N549" s="13"/>
      <c r="O549" s="13"/>
      <c r="P549" s="13"/>
      <c r="Q549" s="14"/>
    </row>
    <row r="550" spans="13:17" ht="15.75" customHeight="1" x14ac:dyDescent="0.25">
      <c r="M550" s="21"/>
      <c r="N550" s="13"/>
      <c r="O550" s="13"/>
      <c r="P550" s="13"/>
      <c r="Q550" s="14"/>
    </row>
    <row r="551" spans="13:17" ht="15.75" customHeight="1" x14ac:dyDescent="0.25">
      <c r="M551" s="21"/>
      <c r="N551" s="13"/>
      <c r="O551" s="13"/>
      <c r="P551" s="13"/>
      <c r="Q551" s="14"/>
    </row>
    <row r="552" spans="13:17" ht="15.75" customHeight="1" x14ac:dyDescent="0.25">
      <c r="M552" s="21"/>
      <c r="N552" s="13"/>
      <c r="O552" s="13"/>
      <c r="P552" s="13"/>
      <c r="Q552" s="14"/>
    </row>
    <row r="553" spans="13:17" ht="15.75" customHeight="1" x14ac:dyDescent="0.25">
      <c r="M553" s="21"/>
      <c r="N553" s="13"/>
      <c r="O553" s="13"/>
      <c r="P553" s="13"/>
      <c r="Q553" s="14"/>
    </row>
    <row r="554" spans="13:17" ht="15.75" customHeight="1" x14ac:dyDescent="0.25">
      <c r="M554" s="21"/>
      <c r="N554" s="13"/>
      <c r="O554" s="13"/>
      <c r="P554" s="13"/>
      <c r="Q554" s="14"/>
    </row>
    <row r="555" spans="13:17" ht="15.75" customHeight="1" x14ac:dyDescent="0.25">
      <c r="M555" s="21"/>
      <c r="N555" s="13"/>
      <c r="O555" s="13"/>
      <c r="P555" s="13"/>
      <c r="Q555" s="14"/>
    </row>
    <row r="556" spans="13:17" ht="15.75" customHeight="1" x14ac:dyDescent="0.25">
      <c r="M556" s="21"/>
      <c r="N556" s="13"/>
      <c r="O556" s="13"/>
      <c r="P556" s="13"/>
      <c r="Q556" s="14"/>
    </row>
    <row r="557" spans="13:17" ht="15.75" customHeight="1" x14ac:dyDescent="0.25">
      <c r="M557" s="21"/>
      <c r="N557" s="13"/>
      <c r="O557" s="13"/>
      <c r="P557" s="13"/>
      <c r="Q557" s="14"/>
    </row>
    <row r="558" spans="13:17" ht="15.75" customHeight="1" x14ac:dyDescent="0.25">
      <c r="M558" s="21"/>
      <c r="N558" s="13"/>
      <c r="O558" s="13"/>
      <c r="P558" s="13"/>
      <c r="Q558" s="14"/>
    </row>
    <row r="559" spans="13:17" ht="15.75" customHeight="1" x14ac:dyDescent="0.25">
      <c r="M559" s="21"/>
      <c r="N559" s="13"/>
      <c r="O559" s="13"/>
      <c r="P559" s="13"/>
      <c r="Q559" s="14"/>
    </row>
    <row r="560" spans="13:17" ht="15.75" customHeight="1" x14ac:dyDescent="0.25">
      <c r="M560" s="21"/>
      <c r="N560" s="13"/>
      <c r="O560" s="13"/>
      <c r="P560" s="13"/>
      <c r="Q560" s="14"/>
    </row>
    <row r="561" spans="13:17" ht="15.75" customHeight="1" x14ac:dyDescent="0.25">
      <c r="M561" s="21"/>
      <c r="N561" s="13"/>
      <c r="O561" s="13"/>
      <c r="P561" s="13"/>
      <c r="Q561" s="14"/>
    </row>
    <row r="562" spans="13:17" ht="15.75" customHeight="1" x14ac:dyDescent="0.25">
      <c r="M562" s="21"/>
      <c r="N562" s="13"/>
      <c r="O562" s="13"/>
      <c r="P562" s="13"/>
      <c r="Q562" s="14"/>
    </row>
    <row r="563" spans="13:17" ht="15.75" customHeight="1" x14ac:dyDescent="0.25">
      <c r="M563" s="21"/>
      <c r="N563" s="13"/>
      <c r="O563" s="13"/>
      <c r="P563" s="13"/>
      <c r="Q563" s="14"/>
    </row>
    <row r="564" spans="13:17" ht="15.75" customHeight="1" x14ac:dyDescent="0.25">
      <c r="M564" s="21"/>
      <c r="N564" s="13"/>
      <c r="O564" s="13"/>
      <c r="P564" s="13"/>
      <c r="Q564" s="14"/>
    </row>
    <row r="565" spans="13:17" ht="15.75" customHeight="1" x14ac:dyDescent="0.25">
      <c r="M565" s="21"/>
      <c r="N565" s="13"/>
      <c r="O565" s="13"/>
      <c r="P565" s="13"/>
      <c r="Q565" s="14"/>
    </row>
    <row r="566" spans="13:17" ht="15.75" customHeight="1" x14ac:dyDescent="0.25">
      <c r="M566" s="21"/>
      <c r="N566" s="13"/>
      <c r="O566" s="13"/>
      <c r="P566" s="13"/>
      <c r="Q566" s="14"/>
    </row>
    <row r="567" spans="13:17" ht="15.75" customHeight="1" x14ac:dyDescent="0.25">
      <c r="M567" s="21"/>
      <c r="N567" s="13"/>
      <c r="O567" s="13"/>
      <c r="P567" s="13"/>
      <c r="Q567" s="14"/>
    </row>
    <row r="568" spans="13:17" ht="15.75" customHeight="1" x14ac:dyDescent="0.25">
      <c r="M568" s="21"/>
      <c r="N568" s="13"/>
      <c r="O568" s="13"/>
      <c r="P568" s="13"/>
      <c r="Q568" s="14"/>
    </row>
    <row r="569" spans="13:17" ht="15.75" customHeight="1" x14ac:dyDescent="0.25">
      <c r="M569" s="21"/>
      <c r="N569" s="13"/>
      <c r="O569" s="13"/>
      <c r="P569" s="13"/>
      <c r="Q569" s="14"/>
    </row>
    <row r="570" spans="13:17" ht="15.75" customHeight="1" x14ac:dyDescent="0.25">
      <c r="M570" s="21"/>
      <c r="N570" s="13"/>
      <c r="O570" s="13"/>
      <c r="P570" s="13"/>
      <c r="Q570" s="14"/>
    </row>
    <row r="571" spans="13:17" ht="15.75" customHeight="1" x14ac:dyDescent="0.25">
      <c r="M571" s="21"/>
      <c r="N571" s="13"/>
      <c r="O571" s="13"/>
      <c r="P571" s="13"/>
      <c r="Q571" s="14"/>
    </row>
    <row r="572" spans="13:17" ht="15.75" customHeight="1" x14ac:dyDescent="0.25">
      <c r="M572" s="21"/>
      <c r="N572" s="13"/>
      <c r="O572" s="13"/>
      <c r="P572" s="13"/>
      <c r="Q572" s="14"/>
    </row>
    <row r="573" spans="13:17" ht="15.75" customHeight="1" x14ac:dyDescent="0.25">
      <c r="M573" s="21"/>
      <c r="N573" s="13"/>
      <c r="O573" s="13"/>
      <c r="P573" s="13"/>
      <c r="Q573" s="14"/>
    </row>
    <row r="574" spans="13:17" ht="15.75" customHeight="1" x14ac:dyDescent="0.25">
      <c r="M574" s="21"/>
      <c r="N574" s="13"/>
      <c r="O574" s="13"/>
      <c r="P574" s="13"/>
      <c r="Q574" s="14"/>
    </row>
    <row r="575" spans="13:17" ht="15.75" customHeight="1" x14ac:dyDescent="0.25">
      <c r="M575" s="21"/>
      <c r="N575" s="13"/>
      <c r="O575" s="13"/>
      <c r="P575" s="13"/>
      <c r="Q575" s="14"/>
    </row>
    <row r="576" spans="13:17" ht="15.75" customHeight="1" x14ac:dyDescent="0.25">
      <c r="M576" s="21"/>
      <c r="N576" s="13"/>
      <c r="O576" s="13"/>
      <c r="P576" s="13"/>
      <c r="Q576" s="14"/>
    </row>
    <row r="577" spans="13:17" ht="15.75" customHeight="1" x14ac:dyDescent="0.25">
      <c r="M577" s="21"/>
      <c r="N577" s="13"/>
      <c r="O577" s="13"/>
      <c r="P577" s="13"/>
      <c r="Q577" s="14"/>
    </row>
    <row r="578" spans="13:17" ht="15.75" customHeight="1" x14ac:dyDescent="0.25">
      <c r="M578" s="21"/>
      <c r="N578" s="13"/>
      <c r="O578" s="13"/>
      <c r="P578" s="13"/>
      <c r="Q578" s="14"/>
    </row>
    <row r="579" spans="13:17" ht="15.75" customHeight="1" x14ac:dyDescent="0.25">
      <c r="M579" s="21"/>
      <c r="N579" s="13"/>
      <c r="O579" s="13"/>
      <c r="P579" s="13"/>
      <c r="Q579" s="14"/>
    </row>
    <row r="580" spans="13:17" ht="15.75" customHeight="1" x14ac:dyDescent="0.25">
      <c r="M580" s="21"/>
      <c r="N580" s="13"/>
      <c r="O580" s="13"/>
      <c r="P580" s="13"/>
      <c r="Q580" s="14"/>
    </row>
    <row r="581" spans="13:17" ht="15.75" customHeight="1" x14ac:dyDescent="0.25">
      <c r="M581" s="21"/>
      <c r="N581" s="13"/>
      <c r="O581" s="13"/>
      <c r="P581" s="13"/>
      <c r="Q581" s="14"/>
    </row>
    <row r="582" spans="13:17" ht="15.75" customHeight="1" x14ac:dyDescent="0.25">
      <c r="M582" s="21"/>
      <c r="N582" s="13"/>
      <c r="O582" s="13"/>
      <c r="P582" s="13"/>
      <c r="Q582" s="14"/>
    </row>
    <row r="583" spans="13:17" ht="15.75" customHeight="1" x14ac:dyDescent="0.25">
      <c r="M583" s="21"/>
      <c r="N583" s="13"/>
      <c r="O583" s="13"/>
      <c r="P583" s="13"/>
      <c r="Q583" s="14"/>
    </row>
    <row r="584" spans="13:17" ht="15.75" customHeight="1" x14ac:dyDescent="0.25">
      <c r="M584" s="21"/>
      <c r="N584" s="13"/>
      <c r="O584" s="13"/>
      <c r="P584" s="13"/>
      <c r="Q584" s="14"/>
    </row>
    <row r="585" spans="13:17" ht="15.75" customHeight="1" x14ac:dyDescent="0.25">
      <c r="M585" s="21"/>
      <c r="N585" s="13"/>
      <c r="O585" s="13"/>
      <c r="P585" s="13"/>
      <c r="Q585" s="14"/>
    </row>
    <row r="586" spans="13:17" ht="15.75" customHeight="1" x14ac:dyDescent="0.25">
      <c r="M586" s="21"/>
      <c r="N586" s="13"/>
      <c r="O586" s="13"/>
      <c r="P586" s="13"/>
      <c r="Q586" s="14"/>
    </row>
    <row r="587" spans="13:17" ht="15.75" customHeight="1" x14ac:dyDescent="0.25">
      <c r="M587" s="21"/>
      <c r="N587" s="13"/>
      <c r="O587" s="13"/>
      <c r="P587" s="13"/>
      <c r="Q587" s="14"/>
    </row>
    <row r="588" spans="13:17" ht="15.75" customHeight="1" x14ac:dyDescent="0.25">
      <c r="M588" s="21"/>
      <c r="N588" s="13"/>
      <c r="O588" s="13"/>
      <c r="P588" s="13"/>
      <c r="Q588" s="14"/>
    </row>
    <row r="589" spans="13:17" ht="15.75" customHeight="1" x14ac:dyDescent="0.25">
      <c r="M589" s="21"/>
      <c r="N589" s="13"/>
      <c r="O589" s="13"/>
      <c r="P589" s="13"/>
      <c r="Q589" s="14"/>
    </row>
    <row r="590" spans="13:17" ht="15.75" customHeight="1" x14ac:dyDescent="0.25">
      <c r="M590" s="21"/>
      <c r="N590" s="13"/>
      <c r="O590" s="13"/>
      <c r="P590" s="13"/>
      <c r="Q590" s="14"/>
    </row>
    <row r="591" spans="13:17" ht="15.75" customHeight="1" x14ac:dyDescent="0.25">
      <c r="M591" s="21"/>
      <c r="N591" s="13"/>
      <c r="O591" s="13"/>
      <c r="P591" s="13"/>
      <c r="Q591" s="14"/>
    </row>
    <row r="592" spans="13:17" ht="15.75" customHeight="1" x14ac:dyDescent="0.25">
      <c r="M592" s="21"/>
      <c r="N592" s="13"/>
      <c r="O592" s="13"/>
      <c r="P592" s="13"/>
      <c r="Q592" s="14"/>
    </row>
    <row r="593" spans="13:17" ht="15.75" customHeight="1" x14ac:dyDescent="0.25">
      <c r="M593" s="21"/>
      <c r="N593" s="13"/>
      <c r="O593" s="13"/>
      <c r="P593" s="13"/>
      <c r="Q593" s="14"/>
    </row>
    <row r="594" spans="13:17" ht="15.75" customHeight="1" x14ac:dyDescent="0.25">
      <c r="M594" s="21"/>
      <c r="N594" s="13"/>
      <c r="O594" s="13"/>
      <c r="P594" s="13"/>
      <c r="Q594" s="14"/>
    </row>
    <row r="595" spans="13:17" ht="15.75" customHeight="1" x14ac:dyDescent="0.25">
      <c r="M595" s="21"/>
      <c r="N595" s="13"/>
      <c r="O595" s="13"/>
      <c r="P595" s="13"/>
      <c r="Q595" s="14"/>
    </row>
    <row r="596" spans="13:17" ht="15.75" customHeight="1" x14ac:dyDescent="0.25">
      <c r="M596" s="21"/>
      <c r="N596" s="13"/>
      <c r="O596" s="13"/>
      <c r="P596" s="13"/>
      <c r="Q596" s="14"/>
    </row>
    <row r="597" spans="13:17" ht="15.75" customHeight="1" x14ac:dyDescent="0.25">
      <c r="M597" s="21"/>
      <c r="N597" s="13"/>
      <c r="O597" s="13"/>
      <c r="P597" s="13"/>
      <c r="Q597" s="14"/>
    </row>
    <row r="598" spans="13:17" ht="15.75" customHeight="1" x14ac:dyDescent="0.25">
      <c r="M598" s="21"/>
      <c r="N598" s="13"/>
      <c r="O598" s="13"/>
      <c r="P598" s="13"/>
      <c r="Q598" s="14"/>
    </row>
    <row r="599" spans="13:17" ht="15.75" customHeight="1" x14ac:dyDescent="0.25">
      <c r="M599" s="21"/>
      <c r="N599" s="13"/>
      <c r="O599" s="13"/>
      <c r="P599" s="13"/>
      <c r="Q599" s="14"/>
    </row>
    <row r="600" spans="13:17" ht="15.75" customHeight="1" x14ac:dyDescent="0.25">
      <c r="M600" s="21"/>
      <c r="N600" s="13"/>
      <c r="O600" s="13"/>
      <c r="P600" s="13"/>
      <c r="Q600" s="14"/>
    </row>
    <row r="601" spans="13:17" ht="15.75" customHeight="1" x14ac:dyDescent="0.25">
      <c r="M601" s="21"/>
      <c r="N601" s="13"/>
      <c r="O601" s="13"/>
      <c r="P601" s="13"/>
      <c r="Q601" s="14"/>
    </row>
    <row r="602" spans="13:17" ht="15.75" customHeight="1" x14ac:dyDescent="0.25">
      <c r="M602" s="21"/>
      <c r="N602" s="13"/>
      <c r="O602" s="13"/>
      <c r="P602" s="13"/>
      <c r="Q602" s="14"/>
    </row>
    <row r="603" spans="13:17" ht="15.75" customHeight="1" x14ac:dyDescent="0.25">
      <c r="M603" s="21"/>
      <c r="N603" s="13"/>
      <c r="O603" s="13"/>
      <c r="P603" s="13"/>
      <c r="Q603" s="14"/>
    </row>
    <row r="604" spans="13:17" ht="15.75" customHeight="1" x14ac:dyDescent="0.25">
      <c r="M604" s="21"/>
      <c r="N604" s="13"/>
      <c r="O604" s="13"/>
      <c r="P604" s="13"/>
      <c r="Q604" s="14"/>
    </row>
    <row r="605" spans="13:17" ht="15.75" customHeight="1" x14ac:dyDescent="0.25">
      <c r="M605" s="21"/>
      <c r="N605" s="13"/>
      <c r="O605" s="13"/>
      <c r="P605" s="13"/>
      <c r="Q605" s="14"/>
    </row>
    <row r="606" spans="13:17" ht="15.75" customHeight="1" x14ac:dyDescent="0.25">
      <c r="M606" s="21"/>
      <c r="N606" s="13"/>
      <c r="O606" s="13"/>
      <c r="P606" s="13"/>
      <c r="Q606" s="14"/>
    </row>
    <row r="607" spans="13:17" ht="15.75" customHeight="1" x14ac:dyDescent="0.25">
      <c r="M607" s="21"/>
      <c r="N607" s="13"/>
      <c r="O607" s="13"/>
      <c r="P607" s="13"/>
      <c r="Q607" s="14"/>
    </row>
    <row r="608" spans="13:17" ht="15.75" customHeight="1" x14ac:dyDescent="0.25">
      <c r="M608" s="21"/>
      <c r="N608" s="13"/>
      <c r="O608" s="13"/>
      <c r="P608" s="13"/>
      <c r="Q608" s="14"/>
    </row>
    <row r="609" spans="13:17" ht="15.75" customHeight="1" x14ac:dyDescent="0.25">
      <c r="M609" s="21"/>
      <c r="N609" s="13"/>
      <c r="O609" s="13"/>
      <c r="P609" s="13"/>
      <c r="Q609" s="14"/>
    </row>
    <row r="610" spans="13:17" ht="15.75" customHeight="1" x14ac:dyDescent="0.25">
      <c r="M610" s="21"/>
      <c r="N610" s="13"/>
      <c r="O610" s="13"/>
      <c r="P610" s="13"/>
      <c r="Q610" s="14"/>
    </row>
    <row r="611" spans="13:17" ht="15.75" customHeight="1" x14ac:dyDescent="0.25">
      <c r="M611" s="21"/>
      <c r="N611" s="13"/>
      <c r="O611" s="13"/>
      <c r="P611" s="13"/>
      <c r="Q611" s="14"/>
    </row>
    <row r="612" spans="13:17" ht="15.75" customHeight="1" x14ac:dyDescent="0.25">
      <c r="M612" s="21"/>
      <c r="N612" s="13"/>
      <c r="O612" s="13"/>
      <c r="P612" s="13"/>
      <c r="Q612" s="14"/>
    </row>
    <row r="613" spans="13:17" ht="15.75" customHeight="1" x14ac:dyDescent="0.25">
      <c r="M613" s="21"/>
      <c r="N613" s="13"/>
      <c r="O613" s="13"/>
      <c r="P613" s="13"/>
      <c r="Q613" s="14"/>
    </row>
    <row r="614" spans="13:17" ht="15.75" customHeight="1" x14ac:dyDescent="0.25">
      <c r="M614" s="21"/>
      <c r="N614" s="13"/>
      <c r="O614" s="13"/>
      <c r="P614" s="13"/>
      <c r="Q614" s="14"/>
    </row>
    <row r="615" spans="13:17" ht="15.75" customHeight="1" x14ac:dyDescent="0.25">
      <c r="M615" s="21"/>
      <c r="N615" s="13"/>
      <c r="O615" s="13"/>
      <c r="P615" s="13"/>
      <c r="Q615" s="14"/>
    </row>
    <row r="616" spans="13:17" ht="15.75" customHeight="1" x14ac:dyDescent="0.25">
      <c r="M616" s="21"/>
      <c r="N616" s="13"/>
      <c r="O616" s="13"/>
      <c r="P616" s="13"/>
      <c r="Q616" s="14"/>
    </row>
    <row r="617" spans="13:17" ht="15.75" customHeight="1" x14ac:dyDescent="0.25">
      <c r="M617" s="21"/>
      <c r="N617" s="13"/>
      <c r="O617" s="13"/>
      <c r="P617" s="13"/>
      <c r="Q617" s="14"/>
    </row>
    <row r="618" spans="13:17" ht="15.75" customHeight="1" x14ac:dyDescent="0.25">
      <c r="M618" s="21"/>
      <c r="N618" s="13"/>
      <c r="O618" s="13"/>
      <c r="P618" s="13"/>
      <c r="Q618" s="14"/>
    </row>
    <row r="619" spans="13:17" ht="15.75" customHeight="1" x14ac:dyDescent="0.25">
      <c r="M619" s="21"/>
      <c r="N619" s="13"/>
      <c r="O619" s="13"/>
      <c r="P619" s="13"/>
      <c r="Q619" s="14"/>
    </row>
    <row r="620" spans="13:17" ht="15.75" customHeight="1" x14ac:dyDescent="0.25">
      <c r="M620" s="21"/>
      <c r="N620" s="13"/>
      <c r="O620" s="13"/>
      <c r="P620" s="13"/>
      <c r="Q620" s="14"/>
    </row>
    <row r="621" spans="13:17" ht="15.75" customHeight="1" x14ac:dyDescent="0.25">
      <c r="M621" s="21"/>
      <c r="N621" s="13"/>
      <c r="O621" s="13"/>
      <c r="P621" s="13"/>
      <c r="Q621" s="14"/>
    </row>
    <row r="622" spans="13:17" ht="15.75" customHeight="1" x14ac:dyDescent="0.25">
      <c r="M622" s="21"/>
      <c r="N622" s="13"/>
      <c r="O622" s="13"/>
      <c r="P622" s="13"/>
      <c r="Q622" s="14"/>
    </row>
    <row r="623" spans="13:17" ht="15.75" customHeight="1" x14ac:dyDescent="0.25">
      <c r="M623" s="21"/>
      <c r="N623" s="13"/>
      <c r="O623" s="13"/>
      <c r="P623" s="13"/>
      <c r="Q623" s="14"/>
    </row>
    <row r="624" spans="13:17" ht="15.75" customHeight="1" x14ac:dyDescent="0.25">
      <c r="M624" s="21"/>
      <c r="N624" s="13"/>
      <c r="O624" s="13"/>
      <c r="P624" s="13"/>
      <c r="Q624" s="14"/>
    </row>
    <row r="625" spans="13:17" ht="15.75" customHeight="1" x14ac:dyDescent="0.25">
      <c r="M625" s="21"/>
      <c r="N625" s="13"/>
      <c r="O625" s="13"/>
      <c r="P625" s="13"/>
      <c r="Q625" s="14"/>
    </row>
    <row r="626" spans="13:17" ht="15.75" customHeight="1" x14ac:dyDescent="0.25">
      <c r="M626" s="21"/>
      <c r="N626" s="13"/>
      <c r="O626" s="13"/>
      <c r="P626" s="13"/>
      <c r="Q626" s="14"/>
    </row>
    <row r="627" spans="13:17" ht="15.75" customHeight="1" x14ac:dyDescent="0.25">
      <c r="M627" s="21"/>
      <c r="N627" s="13"/>
      <c r="O627" s="13"/>
      <c r="P627" s="13"/>
      <c r="Q627" s="14"/>
    </row>
    <row r="628" spans="13:17" ht="15.75" customHeight="1" x14ac:dyDescent="0.25">
      <c r="M628" s="21"/>
      <c r="N628" s="13"/>
      <c r="O628" s="13"/>
      <c r="P628" s="13"/>
      <c r="Q628" s="14"/>
    </row>
    <row r="629" spans="13:17" ht="15.75" customHeight="1" x14ac:dyDescent="0.25">
      <c r="M629" s="21"/>
      <c r="N629" s="13"/>
      <c r="O629" s="13"/>
      <c r="P629" s="13"/>
      <c r="Q629" s="14"/>
    </row>
    <row r="630" spans="13:17" ht="15.75" customHeight="1" x14ac:dyDescent="0.25">
      <c r="M630" s="21"/>
      <c r="N630" s="13"/>
      <c r="O630" s="13"/>
      <c r="P630" s="13"/>
      <c r="Q630" s="14"/>
    </row>
    <row r="631" spans="13:17" ht="15.75" customHeight="1" x14ac:dyDescent="0.25">
      <c r="M631" s="21"/>
      <c r="N631" s="13"/>
      <c r="O631" s="13"/>
      <c r="P631" s="13"/>
      <c r="Q631" s="14"/>
    </row>
    <row r="632" spans="13:17" ht="15.75" customHeight="1" x14ac:dyDescent="0.25">
      <c r="M632" s="21"/>
      <c r="N632" s="13"/>
      <c r="O632" s="13"/>
      <c r="P632" s="13"/>
      <c r="Q632" s="14"/>
    </row>
    <row r="633" spans="13:17" ht="15.75" customHeight="1" x14ac:dyDescent="0.25">
      <c r="M633" s="21"/>
      <c r="N633" s="13"/>
      <c r="O633" s="13"/>
      <c r="P633" s="13"/>
      <c r="Q633" s="14"/>
    </row>
    <row r="634" spans="13:17" ht="15.75" customHeight="1" x14ac:dyDescent="0.25">
      <c r="M634" s="21"/>
      <c r="N634" s="13"/>
      <c r="O634" s="13"/>
      <c r="P634" s="13"/>
      <c r="Q634" s="14"/>
    </row>
    <row r="635" spans="13:17" ht="15.75" customHeight="1" x14ac:dyDescent="0.25">
      <c r="M635" s="21"/>
      <c r="N635" s="13"/>
      <c r="O635" s="13"/>
      <c r="P635" s="13"/>
      <c r="Q635" s="14"/>
    </row>
    <row r="636" spans="13:17" ht="15.75" customHeight="1" x14ac:dyDescent="0.25">
      <c r="M636" s="21"/>
      <c r="N636" s="13"/>
      <c r="O636" s="13"/>
      <c r="P636" s="13"/>
      <c r="Q636" s="14"/>
    </row>
    <row r="637" spans="13:17" ht="15.75" customHeight="1" x14ac:dyDescent="0.25">
      <c r="M637" s="21"/>
      <c r="N637" s="13"/>
      <c r="O637" s="13"/>
      <c r="P637" s="13"/>
      <c r="Q637" s="14"/>
    </row>
    <row r="638" spans="13:17" ht="15.75" customHeight="1" x14ac:dyDescent="0.25">
      <c r="M638" s="21"/>
      <c r="N638" s="13"/>
      <c r="O638" s="13"/>
      <c r="P638" s="13"/>
      <c r="Q638" s="14"/>
    </row>
    <row r="639" spans="13:17" ht="15.75" customHeight="1" x14ac:dyDescent="0.25">
      <c r="M639" s="21"/>
      <c r="N639" s="13"/>
      <c r="O639" s="13"/>
      <c r="P639" s="13"/>
      <c r="Q639" s="14"/>
    </row>
    <row r="640" spans="13:17" ht="15.75" customHeight="1" x14ac:dyDescent="0.25">
      <c r="M640" s="21"/>
      <c r="N640" s="13"/>
      <c r="O640" s="13"/>
      <c r="P640" s="13"/>
      <c r="Q640" s="14"/>
    </row>
    <row r="641" spans="13:17" ht="15.75" customHeight="1" x14ac:dyDescent="0.25">
      <c r="M641" s="21"/>
      <c r="N641" s="13"/>
      <c r="O641" s="13"/>
      <c r="P641" s="13"/>
      <c r="Q641" s="14"/>
    </row>
    <row r="642" spans="13:17" ht="15.75" customHeight="1" x14ac:dyDescent="0.25">
      <c r="M642" s="21"/>
      <c r="N642" s="13"/>
      <c r="O642" s="13"/>
      <c r="P642" s="13"/>
      <c r="Q642" s="14"/>
    </row>
    <row r="643" spans="13:17" ht="15.75" customHeight="1" x14ac:dyDescent="0.25">
      <c r="M643" s="21"/>
      <c r="N643" s="13"/>
      <c r="O643" s="13"/>
      <c r="P643" s="13"/>
      <c r="Q643" s="14"/>
    </row>
    <row r="644" spans="13:17" ht="15.75" customHeight="1" x14ac:dyDescent="0.25">
      <c r="M644" s="21"/>
      <c r="N644" s="13"/>
      <c r="O644" s="13"/>
      <c r="P644" s="13"/>
      <c r="Q644" s="14"/>
    </row>
    <row r="645" spans="13:17" ht="15.75" customHeight="1" x14ac:dyDescent="0.25">
      <c r="M645" s="21"/>
      <c r="N645" s="13"/>
      <c r="O645" s="13"/>
      <c r="P645" s="13"/>
      <c r="Q645" s="14"/>
    </row>
    <row r="646" spans="13:17" ht="15.75" customHeight="1" x14ac:dyDescent="0.25">
      <c r="M646" s="21"/>
      <c r="N646" s="13"/>
      <c r="O646" s="13"/>
      <c r="P646" s="13"/>
      <c r="Q646" s="14"/>
    </row>
    <row r="647" spans="13:17" ht="15.75" customHeight="1" x14ac:dyDescent="0.25">
      <c r="M647" s="21"/>
      <c r="N647" s="13"/>
      <c r="O647" s="13"/>
      <c r="P647" s="13"/>
      <c r="Q647" s="14"/>
    </row>
    <row r="648" spans="13:17" ht="15.75" customHeight="1" x14ac:dyDescent="0.25">
      <c r="M648" s="21"/>
      <c r="N648" s="13"/>
      <c r="O648" s="13"/>
      <c r="P648" s="13"/>
      <c r="Q648" s="14"/>
    </row>
    <row r="649" spans="13:17" ht="15.75" customHeight="1" x14ac:dyDescent="0.25">
      <c r="M649" s="21"/>
      <c r="N649" s="13"/>
      <c r="O649" s="13"/>
      <c r="P649" s="13"/>
      <c r="Q649" s="14"/>
    </row>
    <row r="650" spans="13:17" ht="15.75" customHeight="1" x14ac:dyDescent="0.25">
      <c r="M650" s="21"/>
      <c r="N650" s="13"/>
      <c r="O650" s="13"/>
      <c r="P650" s="13"/>
      <c r="Q650" s="14"/>
    </row>
    <row r="651" spans="13:17" ht="15.75" customHeight="1" x14ac:dyDescent="0.25">
      <c r="M651" s="21"/>
      <c r="N651" s="13"/>
      <c r="O651" s="13"/>
      <c r="P651" s="13"/>
      <c r="Q651" s="14"/>
    </row>
    <row r="652" spans="13:17" ht="15.75" customHeight="1" x14ac:dyDescent="0.25">
      <c r="M652" s="21"/>
      <c r="N652" s="13"/>
      <c r="O652" s="13"/>
      <c r="P652" s="13"/>
      <c r="Q652" s="14"/>
    </row>
    <row r="653" spans="13:17" ht="15.75" customHeight="1" x14ac:dyDescent="0.25">
      <c r="M653" s="21"/>
      <c r="N653" s="13"/>
      <c r="O653" s="13"/>
      <c r="P653" s="13"/>
      <c r="Q653" s="14"/>
    </row>
    <row r="654" spans="13:17" ht="15.75" customHeight="1" x14ac:dyDescent="0.25">
      <c r="M654" s="21"/>
      <c r="N654" s="13"/>
      <c r="O654" s="13"/>
      <c r="P654" s="13"/>
      <c r="Q654" s="14"/>
    </row>
    <row r="655" spans="13:17" ht="15.75" customHeight="1" x14ac:dyDescent="0.25">
      <c r="M655" s="21"/>
      <c r="N655" s="13"/>
      <c r="O655" s="13"/>
      <c r="P655" s="13"/>
      <c r="Q655" s="14"/>
    </row>
    <row r="656" spans="13:17" ht="15.75" customHeight="1" x14ac:dyDescent="0.25">
      <c r="M656" s="21"/>
      <c r="N656" s="13"/>
      <c r="O656" s="13"/>
      <c r="P656" s="13"/>
      <c r="Q656" s="14"/>
    </row>
    <row r="657" spans="13:17" ht="15.75" customHeight="1" x14ac:dyDescent="0.25">
      <c r="M657" s="21"/>
      <c r="N657" s="13"/>
      <c r="O657" s="13"/>
      <c r="P657" s="13"/>
      <c r="Q657" s="14"/>
    </row>
    <row r="658" spans="13:17" ht="15.75" customHeight="1" x14ac:dyDescent="0.25">
      <c r="M658" s="21"/>
      <c r="N658" s="13"/>
      <c r="O658" s="13"/>
      <c r="P658" s="13"/>
      <c r="Q658" s="14"/>
    </row>
    <row r="659" spans="13:17" ht="15.75" customHeight="1" x14ac:dyDescent="0.25">
      <c r="M659" s="21"/>
      <c r="N659" s="13"/>
      <c r="O659" s="13"/>
      <c r="P659" s="13"/>
      <c r="Q659" s="14"/>
    </row>
    <row r="660" spans="13:17" ht="15.75" customHeight="1" x14ac:dyDescent="0.25">
      <c r="M660" s="21"/>
      <c r="N660" s="13"/>
      <c r="O660" s="13"/>
      <c r="P660" s="13"/>
      <c r="Q660" s="14"/>
    </row>
    <row r="661" spans="13:17" ht="15.75" customHeight="1" x14ac:dyDescent="0.25">
      <c r="M661" s="21"/>
      <c r="N661" s="13"/>
      <c r="O661" s="13"/>
      <c r="P661" s="13"/>
      <c r="Q661" s="14"/>
    </row>
    <row r="662" spans="13:17" ht="15.75" customHeight="1" x14ac:dyDescent="0.25">
      <c r="M662" s="21"/>
      <c r="N662" s="13"/>
      <c r="O662" s="13"/>
      <c r="P662" s="13"/>
      <c r="Q662" s="14"/>
    </row>
    <row r="663" spans="13:17" ht="15.75" customHeight="1" x14ac:dyDescent="0.25">
      <c r="M663" s="21"/>
      <c r="N663" s="13"/>
      <c r="O663" s="13"/>
      <c r="P663" s="13"/>
      <c r="Q663" s="14"/>
    </row>
    <row r="664" spans="13:17" ht="15.75" customHeight="1" x14ac:dyDescent="0.25">
      <c r="M664" s="21"/>
      <c r="N664" s="13"/>
      <c r="O664" s="13"/>
      <c r="P664" s="13"/>
      <c r="Q664" s="14"/>
    </row>
    <row r="665" spans="13:17" ht="15.75" customHeight="1" x14ac:dyDescent="0.25">
      <c r="M665" s="21"/>
      <c r="N665" s="13"/>
      <c r="O665" s="13"/>
      <c r="P665" s="13"/>
      <c r="Q665" s="14"/>
    </row>
    <row r="666" spans="13:17" ht="15.75" customHeight="1" x14ac:dyDescent="0.25">
      <c r="M666" s="21"/>
      <c r="N666" s="13"/>
      <c r="O666" s="13"/>
      <c r="P666" s="13"/>
      <c r="Q666" s="14"/>
    </row>
    <row r="667" spans="13:17" ht="15.75" customHeight="1" x14ac:dyDescent="0.25">
      <c r="M667" s="21"/>
      <c r="N667" s="13"/>
      <c r="O667" s="13"/>
      <c r="P667" s="13"/>
      <c r="Q667" s="14"/>
    </row>
    <row r="668" spans="13:17" ht="15.75" customHeight="1" x14ac:dyDescent="0.25">
      <c r="M668" s="21"/>
      <c r="N668" s="13"/>
      <c r="O668" s="13"/>
      <c r="P668" s="13"/>
      <c r="Q668" s="14"/>
    </row>
    <row r="669" spans="13:17" ht="15.75" customHeight="1" x14ac:dyDescent="0.25">
      <c r="M669" s="21"/>
      <c r="N669" s="13"/>
      <c r="O669" s="13"/>
      <c r="P669" s="13"/>
      <c r="Q669" s="14"/>
    </row>
    <row r="670" spans="13:17" ht="15.75" customHeight="1" x14ac:dyDescent="0.25">
      <c r="M670" s="21"/>
      <c r="N670" s="13"/>
      <c r="O670" s="13"/>
      <c r="P670" s="13"/>
      <c r="Q670" s="14"/>
    </row>
    <row r="671" spans="13:17" ht="15.75" customHeight="1" x14ac:dyDescent="0.25">
      <c r="M671" s="21"/>
      <c r="N671" s="13"/>
      <c r="O671" s="13"/>
      <c r="P671" s="13"/>
      <c r="Q671" s="14"/>
    </row>
    <row r="672" spans="13:17" ht="15.75" customHeight="1" x14ac:dyDescent="0.25">
      <c r="M672" s="21"/>
      <c r="N672" s="13"/>
      <c r="O672" s="13"/>
      <c r="P672" s="13"/>
      <c r="Q672" s="14"/>
    </row>
    <row r="673" spans="13:17" ht="15.75" customHeight="1" x14ac:dyDescent="0.25">
      <c r="M673" s="21"/>
      <c r="N673" s="13"/>
      <c r="O673" s="13"/>
      <c r="P673" s="13"/>
      <c r="Q673" s="14"/>
    </row>
    <row r="674" spans="13:17" ht="15.75" customHeight="1" x14ac:dyDescent="0.25">
      <c r="M674" s="21"/>
      <c r="N674" s="13"/>
      <c r="O674" s="13"/>
      <c r="P674" s="13"/>
      <c r="Q674" s="14"/>
    </row>
    <row r="675" spans="13:17" ht="15.75" customHeight="1" x14ac:dyDescent="0.25">
      <c r="M675" s="21"/>
      <c r="N675" s="13"/>
      <c r="O675" s="13"/>
      <c r="P675" s="13"/>
      <c r="Q675" s="14"/>
    </row>
    <row r="676" spans="13:17" ht="15.75" customHeight="1" x14ac:dyDescent="0.25">
      <c r="M676" s="21"/>
      <c r="N676" s="13"/>
      <c r="O676" s="13"/>
      <c r="P676" s="13"/>
      <c r="Q676" s="14"/>
    </row>
    <row r="677" spans="13:17" ht="15.75" customHeight="1" x14ac:dyDescent="0.25">
      <c r="M677" s="21"/>
      <c r="N677" s="13"/>
      <c r="O677" s="13"/>
      <c r="P677" s="13"/>
      <c r="Q677" s="14"/>
    </row>
    <row r="678" spans="13:17" ht="15.75" customHeight="1" x14ac:dyDescent="0.25">
      <c r="M678" s="21"/>
      <c r="N678" s="13"/>
      <c r="O678" s="13"/>
      <c r="P678" s="13"/>
      <c r="Q678" s="14"/>
    </row>
    <row r="679" spans="13:17" ht="15.75" customHeight="1" x14ac:dyDescent="0.25">
      <c r="M679" s="21"/>
      <c r="N679" s="13"/>
      <c r="O679" s="13"/>
      <c r="P679" s="13"/>
      <c r="Q679" s="14"/>
    </row>
    <row r="680" spans="13:17" ht="15.75" customHeight="1" x14ac:dyDescent="0.25">
      <c r="M680" s="21"/>
      <c r="N680" s="13"/>
      <c r="O680" s="13"/>
      <c r="P680" s="13"/>
      <c r="Q680" s="14"/>
    </row>
    <row r="681" spans="13:17" ht="15.75" customHeight="1" x14ac:dyDescent="0.25">
      <c r="M681" s="21"/>
      <c r="N681" s="13"/>
      <c r="O681" s="13"/>
      <c r="P681" s="13"/>
      <c r="Q681" s="14"/>
    </row>
    <row r="682" spans="13:17" ht="15.75" customHeight="1" x14ac:dyDescent="0.25">
      <c r="M682" s="21"/>
      <c r="N682" s="13"/>
      <c r="O682" s="13"/>
      <c r="P682" s="13"/>
      <c r="Q682" s="14"/>
    </row>
    <row r="683" spans="13:17" ht="15.75" customHeight="1" x14ac:dyDescent="0.25">
      <c r="M683" s="21"/>
      <c r="N683" s="13"/>
      <c r="O683" s="13"/>
      <c r="P683" s="13"/>
      <c r="Q683" s="14"/>
    </row>
    <row r="684" spans="13:17" ht="15.75" customHeight="1" x14ac:dyDescent="0.25">
      <c r="M684" s="21"/>
      <c r="N684" s="13"/>
      <c r="O684" s="13"/>
      <c r="P684" s="13"/>
      <c r="Q684" s="14"/>
    </row>
    <row r="685" spans="13:17" ht="15.75" customHeight="1" x14ac:dyDescent="0.25">
      <c r="M685" s="21"/>
      <c r="N685" s="13"/>
      <c r="O685" s="13"/>
      <c r="P685" s="13"/>
      <c r="Q685" s="14"/>
    </row>
    <row r="686" spans="13:17" ht="15.75" customHeight="1" x14ac:dyDescent="0.25">
      <c r="M686" s="21"/>
      <c r="N686" s="13"/>
      <c r="O686" s="13"/>
      <c r="P686" s="13"/>
      <c r="Q686" s="14"/>
    </row>
    <row r="687" spans="13:17" ht="15.75" customHeight="1" x14ac:dyDescent="0.25">
      <c r="M687" s="21"/>
      <c r="N687" s="13"/>
      <c r="O687" s="13"/>
      <c r="P687" s="13"/>
      <c r="Q687" s="14"/>
    </row>
    <row r="688" spans="13:17" ht="15.75" customHeight="1" x14ac:dyDescent="0.25">
      <c r="M688" s="21"/>
      <c r="N688" s="13"/>
      <c r="O688" s="13"/>
      <c r="P688" s="13"/>
      <c r="Q688" s="14"/>
    </row>
    <row r="689" spans="13:17" ht="15.75" customHeight="1" x14ac:dyDescent="0.25">
      <c r="M689" s="21"/>
      <c r="N689" s="13"/>
      <c r="O689" s="13"/>
      <c r="P689" s="13"/>
      <c r="Q689" s="14"/>
    </row>
    <row r="690" spans="13:17" ht="15.75" customHeight="1" x14ac:dyDescent="0.25">
      <c r="M690" s="21"/>
      <c r="N690" s="13"/>
      <c r="O690" s="13"/>
      <c r="P690" s="13"/>
      <c r="Q690" s="14"/>
    </row>
    <row r="691" spans="13:17" ht="15.75" customHeight="1" x14ac:dyDescent="0.25">
      <c r="M691" s="21"/>
      <c r="N691" s="13"/>
      <c r="O691" s="13"/>
      <c r="P691" s="13"/>
      <c r="Q691" s="14"/>
    </row>
    <row r="692" spans="13:17" ht="15.75" customHeight="1" x14ac:dyDescent="0.25">
      <c r="M692" s="21"/>
      <c r="N692" s="13"/>
      <c r="O692" s="13"/>
      <c r="P692" s="13"/>
      <c r="Q692" s="14"/>
    </row>
    <row r="693" spans="13:17" ht="15.75" customHeight="1" x14ac:dyDescent="0.25">
      <c r="M693" s="21"/>
      <c r="N693" s="13"/>
      <c r="O693" s="13"/>
      <c r="P693" s="13"/>
      <c r="Q693" s="14"/>
    </row>
    <row r="694" spans="13:17" ht="15.75" customHeight="1" x14ac:dyDescent="0.25">
      <c r="M694" s="21"/>
      <c r="N694" s="13"/>
      <c r="O694" s="13"/>
      <c r="P694" s="13"/>
      <c r="Q694" s="14"/>
    </row>
    <row r="695" spans="13:17" ht="15.75" customHeight="1" x14ac:dyDescent="0.25">
      <c r="M695" s="21"/>
      <c r="N695" s="13"/>
      <c r="O695" s="13"/>
      <c r="P695" s="13"/>
      <c r="Q695" s="14"/>
    </row>
    <row r="696" spans="13:17" ht="15.75" customHeight="1" x14ac:dyDescent="0.25">
      <c r="M696" s="21"/>
      <c r="N696" s="13"/>
      <c r="O696" s="13"/>
      <c r="P696" s="13"/>
      <c r="Q696" s="14"/>
    </row>
    <row r="697" spans="13:17" ht="15.75" customHeight="1" x14ac:dyDescent="0.25">
      <c r="M697" s="21"/>
      <c r="N697" s="13"/>
      <c r="O697" s="13"/>
      <c r="P697" s="13"/>
      <c r="Q697" s="14"/>
    </row>
    <row r="698" spans="13:17" ht="15.75" customHeight="1" x14ac:dyDescent="0.25">
      <c r="M698" s="21"/>
      <c r="N698" s="13"/>
      <c r="O698" s="13"/>
      <c r="P698" s="13"/>
      <c r="Q698" s="14"/>
    </row>
    <row r="699" spans="13:17" ht="15.75" customHeight="1" x14ac:dyDescent="0.25">
      <c r="M699" s="21"/>
      <c r="N699" s="13"/>
      <c r="O699" s="13"/>
      <c r="P699" s="13"/>
      <c r="Q699" s="14"/>
    </row>
    <row r="700" spans="13:17" ht="15.75" customHeight="1" x14ac:dyDescent="0.25">
      <c r="M700" s="21"/>
      <c r="N700" s="13"/>
      <c r="O700" s="13"/>
      <c r="P700" s="13"/>
      <c r="Q700" s="14"/>
    </row>
    <row r="701" spans="13:17" ht="15.75" customHeight="1" x14ac:dyDescent="0.25">
      <c r="M701" s="21"/>
      <c r="N701" s="13"/>
      <c r="O701" s="13"/>
      <c r="P701" s="13"/>
      <c r="Q701" s="14"/>
    </row>
    <row r="702" spans="13:17" ht="15.75" customHeight="1" x14ac:dyDescent="0.25">
      <c r="M702" s="21"/>
      <c r="N702" s="13"/>
      <c r="O702" s="13"/>
      <c r="P702" s="13"/>
      <c r="Q702" s="14"/>
    </row>
    <row r="703" spans="13:17" ht="15.75" customHeight="1" x14ac:dyDescent="0.25">
      <c r="M703" s="21"/>
      <c r="N703" s="13"/>
      <c r="O703" s="13"/>
      <c r="P703" s="13"/>
      <c r="Q703" s="14"/>
    </row>
    <row r="704" spans="13:17" ht="15.75" customHeight="1" x14ac:dyDescent="0.25">
      <c r="M704" s="21"/>
      <c r="N704" s="13"/>
      <c r="O704" s="13"/>
      <c r="P704" s="13"/>
      <c r="Q704" s="14"/>
    </row>
    <row r="705" spans="13:17" ht="15.75" customHeight="1" x14ac:dyDescent="0.25">
      <c r="M705" s="21"/>
      <c r="N705" s="13"/>
      <c r="O705" s="13"/>
      <c r="P705" s="13"/>
      <c r="Q705" s="14"/>
    </row>
    <row r="706" spans="13:17" ht="15.75" customHeight="1" x14ac:dyDescent="0.25">
      <c r="M706" s="21"/>
      <c r="N706" s="13"/>
      <c r="O706" s="13"/>
      <c r="P706" s="13"/>
      <c r="Q706" s="14"/>
    </row>
    <row r="707" spans="13:17" ht="15.75" customHeight="1" x14ac:dyDescent="0.25">
      <c r="M707" s="21"/>
      <c r="N707" s="13"/>
      <c r="O707" s="13"/>
      <c r="P707" s="13"/>
      <c r="Q707" s="14"/>
    </row>
    <row r="708" spans="13:17" ht="15.75" customHeight="1" x14ac:dyDescent="0.25">
      <c r="M708" s="21"/>
      <c r="N708" s="13"/>
      <c r="O708" s="13"/>
      <c r="P708" s="13"/>
      <c r="Q708" s="14"/>
    </row>
    <row r="709" spans="13:17" ht="15.75" customHeight="1" x14ac:dyDescent="0.25">
      <c r="M709" s="21"/>
      <c r="N709" s="13"/>
      <c r="O709" s="13"/>
      <c r="P709" s="13"/>
      <c r="Q709" s="14"/>
    </row>
    <row r="710" spans="13:17" ht="15.75" customHeight="1" x14ac:dyDescent="0.25">
      <c r="M710" s="21"/>
      <c r="N710" s="13"/>
      <c r="O710" s="13"/>
      <c r="P710" s="13"/>
      <c r="Q710" s="14"/>
    </row>
    <row r="711" spans="13:17" ht="15.75" customHeight="1" x14ac:dyDescent="0.25">
      <c r="M711" s="21"/>
      <c r="N711" s="13"/>
      <c r="O711" s="13"/>
      <c r="P711" s="13"/>
      <c r="Q711" s="14"/>
    </row>
    <row r="712" spans="13:17" ht="15.75" customHeight="1" x14ac:dyDescent="0.25">
      <c r="M712" s="21"/>
      <c r="N712" s="13"/>
      <c r="O712" s="13"/>
      <c r="P712" s="13"/>
      <c r="Q712" s="14"/>
    </row>
    <row r="713" spans="13:17" ht="15.75" customHeight="1" x14ac:dyDescent="0.25">
      <c r="M713" s="21"/>
      <c r="N713" s="13"/>
      <c r="O713" s="13"/>
      <c r="P713" s="13"/>
      <c r="Q713" s="14"/>
    </row>
    <row r="714" spans="13:17" ht="15.75" customHeight="1" x14ac:dyDescent="0.25">
      <c r="M714" s="21"/>
      <c r="N714" s="13"/>
      <c r="O714" s="13"/>
      <c r="P714" s="13"/>
      <c r="Q714" s="14"/>
    </row>
    <row r="715" spans="13:17" ht="15.75" customHeight="1" x14ac:dyDescent="0.25">
      <c r="M715" s="21"/>
      <c r="N715" s="13"/>
      <c r="O715" s="13"/>
      <c r="P715" s="13"/>
      <c r="Q715" s="14"/>
    </row>
    <row r="716" spans="13:17" ht="15.75" customHeight="1" x14ac:dyDescent="0.25">
      <c r="M716" s="21"/>
      <c r="N716" s="13"/>
      <c r="O716" s="13"/>
      <c r="P716" s="13"/>
      <c r="Q716" s="14"/>
    </row>
    <row r="717" spans="13:17" ht="15.75" customHeight="1" x14ac:dyDescent="0.25">
      <c r="M717" s="21"/>
      <c r="N717" s="13"/>
      <c r="O717" s="13"/>
      <c r="P717" s="13"/>
      <c r="Q717" s="14"/>
    </row>
    <row r="718" spans="13:17" ht="15.75" customHeight="1" x14ac:dyDescent="0.25">
      <c r="M718" s="21"/>
      <c r="N718" s="13"/>
      <c r="O718" s="13"/>
      <c r="P718" s="13"/>
      <c r="Q718" s="14"/>
    </row>
    <row r="719" spans="13:17" ht="15.75" customHeight="1" x14ac:dyDescent="0.25">
      <c r="M719" s="21"/>
      <c r="N719" s="13"/>
      <c r="O719" s="13"/>
      <c r="P719" s="13"/>
      <c r="Q719" s="14"/>
    </row>
    <row r="720" spans="13:17" ht="15.75" customHeight="1" x14ac:dyDescent="0.25">
      <c r="M720" s="21"/>
      <c r="N720" s="13"/>
      <c r="O720" s="13"/>
      <c r="P720" s="13"/>
      <c r="Q720" s="14"/>
    </row>
    <row r="721" spans="13:17" ht="15.75" customHeight="1" x14ac:dyDescent="0.25">
      <c r="M721" s="21"/>
      <c r="N721" s="13"/>
      <c r="O721" s="13"/>
      <c r="P721" s="13"/>
      <c r="Q721" s="14"/>
    </row>
    <row r="722" spans="13:17" ht="15.75" customHeight="1" x14ac:dyDescent="0.25">
      <c r="M722" s="21"/>
      <c r="N722" s="13"/>
      <c r="O722" s="13"/>
      <c r="P722" s="13"/>
      <c r="Q722" s="14"/>
    </row>
    <row r="723" spans="13:17" ht="15.75" customHeight="1" x14ac:dyDescent="0.25">
      <c r="M723" s="21"/>
      <c r="N723" s="13"/>
      <c r="O723" s="13"/>
      <c r="P723" s="13"/>
      <c r="Q723" s="14"/>
    </row>
    <row r="724" spans="13:17" ht="15.75" customHeight="1" x14ac:dyDescent="0.25">
      <c r="M724" s="21"/>
      <c r="N724" s="13"/>
      <c r="O724" s="13"/>
      <c r="P724" s="13"/>
      <c r="Q724" s="14"/>
    </row>
    <row r="725" spans="13:17" ht="15.75" customHeight="1" x14ac:dyDescent="0.25">
      <c r="M725" s="21"/>
      <c r="N725" s="13"/>
      <c r="O725" s="13"/>
      <c r="P725" s="13"/>
      <c r="Q725" s="14"/>
    </row>
    <row r="726" spans="13:17" ht="15.75" customHeight="1" x14ac:dyDescent="0.25">
      <c r="M726" s="21"/>
      <c r="N726" s="13"/>
      <c r="O726" s="13"/>
      <c r="P726" s="13"/>
      <c r="Q726" s="14"/>
    </row>
    <row r="727" spans="13:17" ht="15.75" customHeight="1" x14ac:dyDescent="0.25">
      <c r="M727" s="21"/>
      <c r="N727" s="13"/>
      <c r="O727" s="13"/>
      <c r="P727" s="13"/>
      <c r="Q727" s="14"/>
    </row>
    <row r="728" spans="13:17" ht="15.75" customHeight="1" x14ac:dyDescent="0.25">
      <c r="M728" s="21"/>
      <c r="N728" s="13"/>
      <c r="O728" s="13"/>
      <c r="P728" s="13"/>
      <c r="Q728" s="14"/>
    </row>
    <row r="729" spans="13:17" ht="15.75" customHeight="1" x14ac:dyDescent="0.25">
      <c r="M729" s="21"/>
      <c r="N729" s="13"/>
      <c r="O729" s="13"/>
      <c r="P729" s="13"/>
      <c r="Q729" s="14"/>
    </row>
    <row r="730" spans="13:17" ht="15.75" customHeight="1" x14ac:dyDescent="0.25">
      <c r="M730" s="21"/>
      <c r="N730" s="13"/>
      <c r="O730" s="13"/>
      <c r="P730" s="13"/>
      <c r="Q730" s="14"/>
    </row>
    <row r="731" spans="13:17" ht="15.75" customHeight="1" x14ac:dyDescent="0.25">
      <c r="M731" s="21"/>
      <c r="N731" s="13"/>
      <c r="O731" s="13"/>
      <c r="P731" s="13"/>
      <c r="Q731" s="14"/>
    </row>
    <row r="732" spans="13:17" ht="15.75" customHeight="1" x14ac:dyDescent="0.25">
      <c r="M732" s="21"/>
      <c r="N732" s="13"/>
      <c r="O732" s="13"/>
      <c r="P732" s="13"/>
      <c r="Q732" s="14"/>
    </row>
    <row r="733" spans="13:17" ht="15.75" customHeight="1" x14ac:dyDescent="0.25">
      <c r="M733" s="21"/>
      <c r="N733" s="13"/>
      <c r="O733" s="13"/>
      <c r="P733" s="13"/>
      <c r="Q733" s="14"/>
    </row>
    <row r="734" spans="13:17" ht="15.75" customHeight="1" x14ac:dyDescent="0.25">
      <c r="M734" s="21"/>
      <c r="N734" s="13"/>
      <c r="O734" s="13"/>
      <c r="P734" s="13"/>
      <c r="Q734" s="14"/>
    </row>
    <row r="735" spans="13:17" ht="15.75" customHeight="1" x14ac:dyDescent="0.25">
      <c r="M735" s="21"/>
      <c r="N735" s="13"/>
      <c r="O735" s="13"/>
      <c r="P735" s="13"/>
      <c r="Q735" s="14"/>
    </row>
    <row r="736" spans="13:17" ht="15.75" customHeight="1" x14ac:dyDescent="0.25">
      <c r="M736" s="21"/>
      <c r="N736" s="13"/>
      <c r="O736" s="13"/>
      <c r="P736" s="13"/>
      <c r="Q736" s="14"/>
    </row>
    <row r="737" spans="13:17" ht="15.75" customHeight="1" x14ac:dyDescent="0.25">
      <c r="M737" s="21"/>
      <c r="N737" s="13"/>
      <c r="O737" s="13"/>
      <c r="P737" s="13"/>
      <c r="Q737" s="14"/>
    </row>
    <row r="738" spans="13:17" ht="15.75" customHeight="1" x14ac:dyDescent="0.25">
      <c r="M738" s="21"/>
      <c r="N738" s="13"/>
      <c r="O738" s="13"/>
      <c r="P738" s="13"/>
      <c r="Q738" s="14"/>
    </row>
    <row r="739" spans="13:17" ht="15.75" customHeight="1" x14ac:dyDescent="0.25">
      <c r="M739" s="21"/>
      <c r="N739" s="13"/>
      <c r="O739" s="13"/>
      <c r="P739" s="13"/>
      <c r="Q739" s="14"/>
    </row>
    <row r="740" spans="13:17" ht="15.75" customHeight="1" x14ac:dyDescent="0.25">
      <c r="M740" s="21"/>
      <c r="N740" s="13"/>
      <c r="O740" s="13"/>
      <c r="P740" s="13"/>
      <c r="Q740" s="14"/>
    </row>
    <row r="741" spans="13:17" ht="15.75" customHeight="1" x14ac:dyDescent="0.25">
      <c r="M741" s="21"/>
      <c r="N741" s="13"/>
      <c r="O741" s="13"/>
      <c r="P741" s="13"/>
      <c r="Q741" s="14"/>
    </row>
    <row r="742" spans="13:17" ht="15.75" customHeight="1" x14ac:dyDescent="0.25">
      <c r="M742" s="21"/>
      <c r="N742" s="13"/>
      <c r="O742" s="13"/>
      <c r="P742" s="13"/>
      <c r="Q742" s="14"/>
    </row>
    <row r="743" spans="13:17" ht="15.75" customHeight="1" x14ac:dyDescent="0.25">
      <c r="M743" s="21"/>
      <c r="N743" s="13"/>
      <c r="O743" s="13"/>
      <c r="P743" s="13"/>
      <c r="Q743" s="14"/>
    </row>
    <row r="744" spans="13:17" ht="15.75" customHeight="1" x14ac:dyDescent="0.25">
      <c r="M744" s="21"/>
      <c r="N744" s="13"/>
      <c r="O744" s="13"/>
      <c r="P744" s="13"/>
      <c r="Q744" s="14"/>
    </row>
    <row r="745" spans="13:17" ht="15.75" customHeight="1" x14ac:dyDescent="0.25">
      <c r="M745" s="21"/>
      <c r="N745" s="13"/>
      <c r="O745" s="13"/>
      <c r="P745" s="13"/>
      <c r="Q745" s="14"/>
    </row>
    <row r="746" spans="13:17" ht="15.75" customHeight="1" x14ac:dyDescent="0.25">
      <c r="M746" s="21"/>
      <c r="N746" s="13"/>
      <c r="O746" s="13"/>
      <c r="P746" s="13"/>
      <c r="Q746" s="14"/>
    </row>
    <row r="747" spans="13:17" ht="15.75" customHeight="1" x14ac:dyDescent="0.25">
      <c r="M747" s="21"/>
      <c r="N747" s="13"/>
      <c r="O747" s="13"/>
      <c r="P747" s="13"/>
      <c r="Q747" s="14"/>
    </row>
    <row r="748" spans="13:17" ht="15.75" customHeight="1" x14ac:dyDescent="0.25">
      <c r="M748" s="21"/>
      <c r="N748" s="13"/>
      <c r="O748" s="13"/>
      <c r="P748" s="13"/>
      <c r="Q748" s="14"/>
    </row>
    <row r="749" spans="13:17" ht="15.75" customHeight="1" x14ac:dyDescent="0.25">
      <c r="M749" s="21"/>
      <c r="N749" s="13"/>
      <c r="O749" s="13"/>
      <c r="P749" s="13"/>
      <c r="Q749" s="14"/>
    </row>
    <row r="750" spans="13:17" ht="15.75" customHeight="1" x14ac:dyDescent="0.25">
      <c r="M750" s="21"/>
      <c r="N750" s="13"/>
      <c r="O750" s="13"/>
      <c r="P750" s="13"/>
      <c r="Q750" s="14"/>
    </row>
    <row r="751" spans="13:17" ht="15.75" customHeight="1" x14ac:dyDescent="0.25">
      <c r="M751" s="21"/>
      <c r="N751" s="13"/>
      <c r="O751" s="13"/>
      <c r="P751" s="13"/>
      <c r="Q751" s="14"/>
    </row>
    <row r="752" spans="13:17" ht="15.75" customHeight="1" x14ac:dyDescent="0.25">
      <c r="M752" s="21"/>
      <c r="N752" s="13"/>
      <c r="O752" s="13"/>
      <c r="P752" s="13"/>
      <c r="Q752" s="14"/>
    </row>
    <row r="753" spans="13:17" ht="15.75" customHeight="1" x14ac:dyDescent="0.25">
      <c r="M753" s="21"/>
      <c r="N753" s="13"/>
      <c r="O753" s="13"/>
      <c r="P753" s="13"/>
      <c r="Q753" s="14"/>
    </row>
    <row r="754" spans="13:17" ht="15.75" customHeight="1" x14ac:dyDescent="0.25">
      <c r="M754" s="21"/>
      <c r="N754" s="13"/>
      <c r="O754" s="13"/>
      <c r="P754" s="13"/>
      <c r="Q754" s="14"/>
    </row>
    <row r="755" spans="13:17" ht="15.75" customHeight="1" x14ac:dyDescent="0.25">
      <c r="M755" s="21"/>
      <c r="N755" s="13"/>
      <c r="O755" s="13"/>
      <c r="P755" s="13"/>
      <c r="Q755" s="14"/>
    </row>
    <row r="756" spans="13:17" ht="15.75" customHeight="1" x14ac:dyDescent="0.25">
      <c r="M756" s="21"/>
      <c r="N756" s="13"/>
      <c r="O756" s="13"/>
      <c r="P756" s="13"/>
      <c r="Q756" s="14"/>
    </row>
    <row r="757" spans="13:17" ht="15.75" customHeight="1" x14ac:dyDescent="0.25">
      <c r="M757" s="21"/>
      <c r="N757" s="13"/>
      <c r="O757" s="13"/>
      <c r="P757" s="13"/>
      <c r="Q757" s="14"/>
    </row>
    <row r="758" spans="13:17" ht="15.75" customHeight="1" x14ac:dyDescent="0.25">
      <c r="M758" s="21"/>
      <c r="N758" s="13"/>
      <c r="O758" s="13"/>
      <c r="P758" s="13"/>
      <c r="Q758" s="14"/>
    </row>
    <row r="759" spans="13:17" ht="15.75" customHeight="1" x14ac:dyDescent="0.25">
      <c r="M759" s="21"/>
      <c r="N759" s="13"/>
      <c r="O759" s="13"/>
      <c r="P759" s="13"/>
      <c r="Q759" s="14"/>
    </row>
    <row r="760" spans="13:17" ht="15.75" customHeight="1" x14ac:dyDescent="0.25">
      <c r="M760" s="21"/>
      <c r="N760" s="13"/>
      <c r="O760" s="13"/>
      <c r="P760" s="13"/>
      <c r="Q760" s="14"/>
    </row>
    <row r="761" spans="13:17" ht="15.75" customHeight="1" x14ac:dyDescent="0.25">
      <c r="M761" s="21"/>
      <c r="N761" s="13"/>
      <c r="O761" s="13"/>
      <c r="P761" s="13"/>
      <c r="Q761" s="14"/>
    </row>
    <row r="762" spans="13:17" ht="15.75" customHeight="1" x14ac:dyDescent="0.25">
      <c r="M762" s="21"/>
      <c r="N762" s="13"/>
      <c r="O762" s="13"/>
      <c r="P762" s="13"/>
      <c r="Q762" s="14"/>
    </row>
    <row r="763" spans="13:17" ht="15.75" customHeight="1" x14ac:dyDescent="0.25">
      <c r="M763" s="21"/>
      <c r="N763" s="13"/>
      <c r="O763" s="13"/>
      <c r="P763" s="13"/>
      <c r="Q763" s="14"/>
    </row>
    <row r="764" spans="13:17" ht="15.75" customHeight="1" x14ac:dyDescent="0.25">
      <c r="M764" s="21"/>
      <c r="N764" s="13"/>
      <c r="O764" s="13"/>
      <c r="P764" s="13"/>
      <c r="Q764" s="14"/>
    </row>
    <row r="765" spans="13:17" ht="15.75" customHeight="1" x14ac:dyDescent="0.25">
      <c r="M765" s="21"/>
      <c r="N765" s="13"/>
      <c r="O765" s="13"/>
      <c r="P765" s="13"/>
      <c r="Q765" s="14"/>
    </row>
    <row r="766" spans="13:17" ht="15.75" customHeight="1" x14ac:dyDescent="0.25">
      <c r="M766" s="21"/>
      <c r="N766" s="13"/>
      <c r="O766" s="13"/>
      <c r="P766" s="13"/>
      <c r="Q766" s="14"/>
    </row>
    <row r="767" spans="13:17" ht="15.75" customHeight="1" x14ac:dyDescent="0.25">
      <c r="M767" s="21"/>
      <c r="N767" s="13"/>
      <c r="O767" s="13"/>
      <c r="P767" s="13"/>
      <c r="Q767" s="14"/>
    </row>
    <row r="768" spans="13:17" ht="15.75" customHeight="1" x14ac:dyDescent="0.25">
      <c r="M768" s="21"/>
      <c r="N768" s="13"/>
      <c r="O768" s="13"/>
      <c r="P768" s="13"/>
      <c r="Q768" s="14"/>
    </row>
    <row r="769" spans="13:17" ht="15.75" customHeight="1" x14ac:dyDescent="0.25">
      <c r="M769" s="21"/>
      <c r="N769" s="13"/>
      <c r="O769" s="13"/>
      <c r="P769" s="13"/>
      <c r="Q769" s="14"/>
    </row>
    <row r="770" spans="13:17" ht="15.75" customHeight="1" x14ac:dyDescent="0.25">
      <c r="M770" s="21"/>
      <c r="N770" s="13"/>
      <c r="O770" s="13"/>
      <c r="P770" s="13"/>
      <c r="Q770" s="14"/>
    </row>
    <row r="771" spans="13:17" ht="15.75" customHeight="1" x14ac:dyDescent="0.25">
      <c r="M771" s="21"/>
      <c r="N771" s="13"/>
      <c r="O771" s="13"/>
      <c r="P771" s="13"/>
      <c r="Q771" s="14"/>
    </row>
    <row r="772" spans="13:17" ht="15.75" customHeight="1" x14ac:dyDescent="0.25">
      <c r="M772" s="21"/>
      <c r="N772" s="13"/>
      <c r="O772" s="13"/>
      <c r="P772" s="13"/>
      <c r="Q772" s="14"/>
    </row>
    <row r="773" spans="13:17" ht="15.75" customHeight="1" x14ac:dyDescent="0.25">
      <c r="M773" s="21"/>
      <c r="N773" s="13"/>
      <c r="O773" s="13"/>
      <c r="P773" s="13"/>
      <c r="Q773" s="14"/>
    </row>
    <row r="774" spans="13:17" ht="15.75" customHeight="1" x14ac:dyDescent="0.25">
      <c r="M774" s="21"/>
      <c r="N774" s="13"/>
      <c r="O774" s="13"/>
      <c r="P774" s="13"/>
      <c r="Q774" s="14"/>
    </row>
    <row r="775" spans="13:17" ht="15.75" customHeight="1" x14ac:dyDescent="0.25">
      <c r="M775" s="21"/>
      <c r="N775" s="13"/>
      <c r="O775" s="13"/>
      <c r="P775" s="13"/>
      <c r="Q775" s="14"/>
    </row>
    <row r="776" spans="13:17" ht="15.75" customHeight="1" x14ac:dyDescent="0.25">
      <c r="M776" s="21"/>
      <c r="N776" s="13"/>
      <c r="O776" s="13"/>
      <c r="P776" s="13"/>
      <c r="Q776" s="14"/>
    </row>
    <row r="777" spans="13:17" ht="15.75" customHeight="1" x14ac:dyDescent="0.25">
      <c r="M777" s="21"/>
      <c r="N777" s="13"/>
      <c r="O777" s="13"/>
      <c r="P777" s="13"/>
      <c r="Q777" s="14"/>
    </row>
    <row r="778" spans="13:17" ht="15.75" customHeight="1" x14ac:dyDescent="0.25">
      <c r="M778" s="21"/>
      <c r="N778" s="13"/>
      <c r="O778" s="13"/>
      <c r="P778" s="13"/>
      <c r="Q778" s="14"/>
    </row>
    <row r="779" spans="13:17" ht="15.75" customHeight="1" x14ac:dyDescent="0.25">
      <c r="M779" s="21"/>
      <c r="N779" s="13"/>
      <c r="O779" s="13"/>
      <c r="P779" s="13"/>
      <c r="Q779" s="14"/>
    </row>
    <row r="780" spans="13:17" ht="15.75" customHeight="1" x14ac:dyDescent="0.25">
      <c r="M780" s="21"/>
      <c r="N780" s="13"/>
      <c r="O780" s="13"/>
      <c r="P780" s="13"/>
      <c r="Q780" s="14"/>
    </row>
    <row r="781" spans="13:17" ht="15.75" customHeight="1" x14ac:dyDescent="0.25">
      <c r="M781" s="21"/>
      <c r="N781" s="13"/>
      <c r="O781" s="13"/>
      <c r="P781" s="13"/>
      <c r="Q781" s="14"/>
    </row>
    <row r="782" spans="13:17" ht="15.75" customHeight="1" x14ac:dyDescent="0.25">
      <c r="M782" s="21"/>
      <c r="N782" s="13"/>
      <c r="O782" s="13"/>
      <c r="P782" s="13"/>
      <c r="Q782" s="14"/>
    </row>
    <row r="783" spans="13:17" ht="15.75" customHeight="1" x14ac:dyDescent="0.25">
      <c r="M783" s="21"/>
      <c r="N783" s="13"/>
      <c r="O783" s="13"/>
      <c r="P783" s="13"/>
      <c r="Q783" s="14"/>
    </row>
    <row r="784" spans="13:17" ht="15.75" customHeight="1" x14ac:dyDescent="0.25">
      <c r="M784" s="21"/>
      <c r="N784" s="13"/>
      <c r="O784" s="13"/>
      <c r="P784" s="13"/>
      <c r="Q784" s="14"/>
    </row>
    <row r="785" spans="13:17" ht="15.75" customHeight="1" x14ac:dyDescent="0.25">
      <c r="M785" s="21"/>
      <c r="N785" s="13"/>
      <c r="O785" s="13"/>
      <c r="P785" s="13"/>
      <c r="Q785" s="14"/>
    </row>
    <row r="786" spans="13:17" ht="15.75" customHeight="1" x14ac:dyDescent="0.25">
      <c r="M786" s="21"/>
      <c r="N786" s="13"/>
      <c r="O786" s="13"/>
      <c r="P786" s="13"/>
      <c r="Q786" s="14"/>
    </row>
    <row r="787" spans="13:17" ht="15.75" customHeight="1" x14ac:dyDescent="0.25">
      <c r="M787" s="21"/>
      <c r="N787" s="13"/>
      <c r="O787" s="13"/>
      <c r="P787" s="13"/>
      <c r="Q787" s="14"/>
    </row>
    <row r="788" spans="13:17" ht="15.75" customHeight="1" x14ac:dyDescent="0.25">
      <c r="M788" s="21"/>
      <c r="N788" s="13"/>
      <c r="O788" s="13"/>
      <c r="P788" s="13"/>
      <c r="Q788" s="14"/>
    </row>
    <row r="789" spans="13:17" ht="15.75" customHeight="1" x14ac:dyDescent="0.25">
      <c r="M789" s="21"/>
      <c r="N789" s="13"/>
      <c r="O789" s="13"/>
      <c r="P789" s="13"/>
      <c r="Q789" s="14"/>
    </row>
    <row r="790" spans="13:17" ht="15.75" customHeight="1" x14ac:dyDescent="0.25">
      <c r="M790" s="21"/>
      <c r="N790" s="13"/>
      <c r="O790" s="13"/>
      <c r="P790" s="13"/>
      <c r="Q790" s="14"/>
    </row>
    <row r="791" spans="13:17" ht="15.75" customHeight="1" x14ac:dyDescent="0.25">
      <c r="M791" s="21"/>
      <c r="N791" s="13"/>
      <c r="O791" s="13"/>
      <c r="P791" s="13"/>
      <c r="Q791" s="14"/>
    </row>
    <row r="792" spans="13:17" ht="15.75" customHeight="1" x14ac:dyDescent="0.25">
      <c r="M792" s="21"/>
      <c r="N792" s="13"/>
      <c r="O792" s="13"/>
      <c r="P792" s="13"/>
      <c r="Q792" s="14"/>
    </row>
    <row r="793" spans="13:17" ht="15.75" customHeight="1" x14ac:dyDescent="0.25">
      <c r="M793" s="21"/>
      <c r="N793" s="13"/>
      <c r="O793" s="13"/>
      <c r="P793" s="13"/>
      <c r="Q793" s="14"/>
    </row>
    <row r="794" spans="13:17" ht="15.75" customHeight="1" x14ac:dyDescent="0.25">
      <c r="M794" s="21"/>
      <c r="N794" s="13"/>
      <c r="O794" s="13"/>
      <c r="P794" s="13"/>
      <c r="Q794" s="14"/>
    </row>
    <row r="795" spans="13:17" ht="15.75" customHeight="1" x14ac:dyDescent="0.25">
      <c r="M795" s="21"/>
      <c r="N795" s="13"/>
      <c r="O795" s="13"/>
      <c r="P795" s="13"/>
      <c r="Q795" s="14"/>
    </row>
    <row r="796" spans="13:17" ht="15.75" customHeight="1" x14ac:dyDescent="0.25">
      <c r="M796" s="21"/>
      <c r="N796" s="13"/>
      <c r="O796" s="13"/>
      <c r="P796" s="13"/>
      <c r="Q796" s="14"/>
    </row>
    <row r="797" spans="13:17" ht="15.75" customHeight="1" x14ac:dyDescent="0.25">
      <c r="M797" s="21"/>
      <c r="N797" s="13"/>
      <c r="O797" s="13"/>
      <c r="P797" s="13"/>
      <c r="Q797" s="14"/>
    </row>
    <row r="798" spans="13:17" ht="15.75" customHeight="1" x14ac:dyDescent="0.25">
      <c r="M798" s="21"/>
      <c r="N798" s="13"/>
      <c r="O798" s="13"/>
      <c r="P798" s="13"/>
      <c r="Q798" s="14"/>
    </row>
    <row r="799" spans="13:17" ht="15.75" customHeight="1" x14ac:dyDescent="0.25">
      <c r="M799" s="21"/>
      <c r="N799" s="13"/>
      <c r="O799" s="13"/>
      <c r="P799" s="13"/>
      <c r="Q799" s="14"/>
    </row>
    <row r="800" spans="13:17" ht="15.75" customHeight="1" x14ac:dyDescent="0.25">
      <c r="M800" s="21"/>
      <c r="N800" s="13"/>
      <c r="O800" s="13"/>
      <c r="P800" s="13"/>
      <c r="Q800" s="14"/>
    </row>
    <row r="801" spans="13:17" ht="15.75" customHeight="1" x14ac:dyDescent="0.25">
      <c r="M801" s="21"/>
      <c r="N801" s="13"/>
      <c r="O801" s="13"/>
      <c r="P801" s="13"/>
      <c r="Q801" s="14"/>
    </row>
    <row r="802" spans="13:17" ht="15.75" customHeight="1" x14ac:dyDescent="0.25">
      <c r="M802" s="21"/>
      <c r="N802" s="13"/>
      <c r="O802" s="13"/>
      <c r="P802" s="13"/>
      <c r="Q802" s="14"/>
    </row>
    <row r="803" spans="13:17" ht="15.75" customHeight="1" x14ac:dyDescent="0.25">
      <c r="M803" s="21"/>
      <c r="N803" s="13"/>
      <c r="O803" s="13"/>
      <c r="P803" s="13"/>
      <c r="Q803" s="14"/>
    </row>
    <row r="804" spans="13:17" ht="15.75" customHeight="1" x14ac:dyDescent="0.25">
      <c r="M804" s="21"/>
      <c r="N804" s="13"/>
      <c r="O804" s="13"/>
      <c r="P804" s="13"/>
      <c r="Q804" s="14"/>
    </row>
    <row r="805" spans="13:17" ht="15.75" customHeight="1" x14ac:dyDescent="0.25">
      <c r="M805" s="21"/>
      <c r="N805" s="13"/>
      <c r="O805" s="13"/>
      <c r="P805" s="13"/>
      <c r="Q805" s="14"/>
    </row>
    <row r="806" spans="13:17" ht="15.75" customHeight="1" x14ac:dyDescent="0.25">
      <c r="M806" s="21"/>
      <c r="N806" s="13"/>
      <c r="O806" s="13"/>
      <c r="P806" s="13"/>
      <c r="Q806" s="14"/>
    </row>
    <row r="807" spans="13:17" ht="15.75" customHeight="1" x14ac:dyDescent="0.25">
      <c r="M807" s="21"/>
      <c r="N807" s="13"/>
      <c r="O807" s="13"/>
      <c r="P807" s="13"/>
      <c r="Q807" s="14"/>
    </row>
    <row r="808" spans="13:17" ht="15.75" customHeight="1" x14ac:dyDescent="0.25">
      <c r="M808" s="21"/>
      <c r="N808" s="13"/>
      <c r="O808" s="13"/>
      <c r="P808" s="13"/>
      <c r="Q808" s="14"/>
    </row>
    <row r="809" spans="13:17" ht="15.75" customHeight="1" x14ac:dyDescent="0.25">
      <c r="M809" s="21"/>
      <c r="N809" s="13"/>
      <c r="O809" s="13"/>
      <c r="P809" s="13"/>
      <c r="Q809" s="14"/>
    </row>
    <row r="810" spans="13:17" ht="15.75" customHeight="1" x14ac:dyDescent="0.25">
      <c r="M810" s="21"/>
      <c r="N810" s="13"/>
      <c r="O810" s="13"/>
      <c r="P810" s="13"/>
      <c r="Q810" s="14"/>
    </row>
    <row r="811" spans="13:17" ht="15.75" customHeight="1" x14ac:dyDescent="0.25">
      <c r="M811" s="21"/>
      <c r="N811" s="13"/>
      <c r="O811" s="13"/>
      <c r="P811" s="13"/>
      <c r="Q811" s="14"/>
    </row>
    <row r="812" spans="13:17" ht="15.75" customHeight="1" x14ac:dyDescent="0.25">
      <c r="M812" s="21"/>
      <c r="N812" s="13"/>
      <c r="O812" s="13"/>
      <c r="P812" s="13"/>
      <c r="Q812" s="14"/>
    </row>
    <row r="813" spans="13:17" ht="15.75" customHeight="1" x14ac:dyDescent="0.25">
      <c r="M813" s="21"/>
      <c r="N813" s="13"/>
      <c r="O813" s="13"/>
      <c r="P813" s="13"/>
      <c r="Q813" s="14"/>
    </row>
    <row r="814" spans="13:17" ht="15.75" customHeight="1" x14ac:dyDescent="0.25">
      <c r="M814" s="21"/>
      <c r="N814" s="13"/>
      <c r="O814" s="13"/>
      <c r="P814" s="13"/>
      <c r="Q814" s="14"/>
    </row>
    <row r="815" spans="13:17" ht="15.75" customHeight="1" x14ac:dyDescent="0.25">
      <c r="M815" s="21"/>
      <c r="N815" s="13"/>
      <c r="O815" s="13"/>
      <c r="P815" s="13"/>
      <c r="Q815" s="14"/>
    </row>
    <row r="816" spans="13:17" ht="15.75" customHeight="1" x14ac:dyDescent="0.25">
      <c r="M816" s="21"/>
      <c r="N816" s="13"/>
      <c r="O816" s="13"/>
      <c r="P816" s="13"/>
      <c r="Q816" s="14"/>
    </row>
    <row r="817" spans="13:17" ht="15.75" customHeight="1" x14ac:dyDescent="0.25">
      <c r="M817" s="21"/>
      <c r="N817" s="13"/>
      <c r="O817" s="13"/>
      <c r="P817" s="13"/>
      <c r="Q817" s="14"/>
    </row>
    <row r="818" spans="13:17" ht="15.75" customHeight="1" x14ac:dyDescent="0.25">
      <c r="M818" s="21"/>
      <c r="N818" s="13"/>
      <c r="O818" s="13"/>
      <c r="P818" s="13"/>
      <c r="Q818" s="14"/>
    </row>
    <row r="819" spans="13:17" ht="15.75" customHeight="1" x14ac:dyDescent="0.25">
      <c r="M819" s="21"/>
      <c r="N819" s="13"/>
      <c r="O819" s="13"/>
      <c r="P819" s="13"/>
      <c r="Q819" s="14"/>
    </row>
    <row r="820" spans="13:17" ht="15.75" customHeight="1" x14ac:dyDescent="0.25">
      <c r="M820" s="21"/>
      <c r="N820" s="13"/>
      <c r="O820" s="13"/>
      <c r="P820" s="13"/>
      <c r="Q820" s="14"/>
    </row>
    <row r="821" spans="13:17" ht="15.75" customHeight="1" x14ac:dyDescent="0.25">
      <c r="M821" s="21"/>
      <c r="N821" s="13"/>
      <c r="O821" s="13"/>
      <c r="P821" s="13"/>
      <c r="Q821" s="14"/>
    </row>
    <row r="822" spans="13:17" ht="15.75" customHeight="1" x14ac:dyDescent="0.25">
      <c r="M822" s="21"/>
      <c r="N822" s="13"/>
      <c r="O822" s="13"/>
      <c r="P822" s="13"/>
      <c r="Q822" s="14"/>
    </row>
    <row r="823" spans="13:17" ht="15.75" customHeight="1" x14ac:dyDescent="0.25">
      <c r="M823" s="21"/>
      <c r="N823" s="13"/>
      <c r="O823" s="13"/>
      <c r="P823" s="13"/>
      <c r="Q823" s="14"/>
    </row>
    <row r="824" spans="13:17" ht="15.75" customHeight="1" x14ac:dyDescent="0.25">
      <c r="M824" s="21"/>
      <c r="N824" s="13"/>
      <c r="O824" s="13"/>
      <c r="P824" s="13"/>
      <c r="Q824" s="14"/>
    </row>
    <row r="825" spans="13:17" ht="15.75" customHeight="1" x14ac:dyDescent="0.25">
      <c r="M825" s="21"/>
      <c r="N825" s="13"/>
      <c r="O825" s="13"/>
      <c r="P825" s="13"/>
      <c r="Q825" s="14"/>
    </row>
    <row r="826" spans="13:17" ht="15.75" customHeight="1" x14ac:dyDescent="0.25">
      <c r="M826" s="21"/>
      <c r="N826" s="13"/>
      <c r="O826" s="13"/>
      <c r="P826" s="13"/>
      <c r="Q826" s="14"/>
    </row>
    <row r="827" spans="13:17" ht="15.75" customHeight="1" x14ac:dyDescent="0.25">
      <c r="M827" s="21"/>
      <c r="N827" s="13"/>
      <c r="O827" s="13"/>
      <c r="P827" s="13"/>
      <c r="Q827" s="14"/>
    </row>
    <row r="828" spans="13:17" ht="15.75" customHeight="1" x14ac:dyDescent="0.25">
      <c r="M828" s="21"/>
      <c r="N828" s="13"/>
      <c r="O828" s="13"/>
      <c r="P828" s="13"/>
      <c r="Q828" s="14"/>
    </row>
    <row r="829" spans="13:17" ht="15.75" customHeight="1" x14ac:dyDescent="0.25">
      <c r="M829" s="21"/>
      <c r="N829" s="13"/>
      <c r="O829" s="13"/>
      <c r="P829" s="13"/>
      <c r="Q829" s="14"/>
    </row>
    <row r="830" spans="13:17" ht="15.75" customHeight="1" x14ac:dyDescent="0.25">
      <c r="M830" s="21"/>
      <c r="N830" s="13"/>
      <c r="O830" s="13"/>
      <c r="P830" s="13"/>
      <c r="Q830" s="14"/>
    </row>
    <row r="831" spans="13:17" ht="15.75" customHeight="1" x14ac:dyDescent="0.25">
      <c r="M831" s="21"/>
      <c r="N831" s="13"/>
      <c r="O831" s="13"/>
      <c r="P831" s="13"/>
      <c r="Q831" s="14"/>
    </row>
    <row r="832" spans="13:17" ht="15.75" customHeight="1" x14ac:dyDescent="0.25">
      <c r="M832" s="21"/>
      <c r="N832" s="13"/>
      <c r="O832" s="13"/>
      <c r="P832" s="13"/>
      <c r="Q832" s="14"/>
    </row>
    <row r="833" spans="13:17" ht="15.75" customHeight="1" x14ac:dyDescent="0.25">
      <c r="M833" s="21"/>
      <c r="N833" s="13"/>
      <c r="O833" s="13"/>
      <c r="P833" s="13"/>
      <c r="Q833" s="14"/>
    </row>
    <row r="834" spans="13:17" ht="15.75" customHeight="1" x14ac:dyDescent="0.25">
      <c r="M834" s="21"/>
      <c r="N834" s="13"/>
      <c r="O834" s="13"/>
      <c r="P834" s="13"/>
      <c r="Q834" s="14"/>
    </row>
    <row r="835" spans="13:17" ht="15.75" customHeight="1" x14ac:dyDescent="0.25">
      <c r="M835" s="21"/>
      <c r="N835" s="13"/>
      <c r="O835" s="13"/>
      <c r="P835" s="13"/>
      <c r="Q835" s="14"/>
    </row>
    <row r="836" spans="13:17" ht="15.75" customHeight="1" x14ac:dyDescent="0.25">
      <c r="M836" s="21"/>
      <c r="N836" s="13"/>
      <c r="O836" s="13"/>
      <c r="P836" s="13"/>
      <c r="Q836" s="14"/>
    </row>
    <row r="837" spans="13:17" ht="15.75" customHeight="1" x14ac:dyDescent="0.25">
      <c r="M837" s="21"/>
      <c r="N837" s="13"/>
      <c r="O837" s="13"/>
      <c r="P837" s="13"/>
      <c r="Q837" s="14"/>
    </row>
    <row r="838" spans="13:17" ht="15.75" customHeight="1" x14ac:dyDescent="0.25">
      <c r="M838" s="21"/>
      <c r="N838" s="13"/>
      <c r="O838" s="13"/>
      <c r="P838" s="13"/>
      <c r="Q838" s="14"/>
    </row>
    <row r="839" spans="13:17" ht="15.75" customHeight="1" x14ac:dyDescent="0.25">
      <c r="M839" s="21"/>
      <c r="N839" s="13"/>
      <c r="O839" s="13"/>
      <c r="P839" s="13"/>
      <c r="Q839" s="14"/>
    </row>
    <row r="840" spans="13:17" ht="15.75" customHeight="1" x14ac:dyDescent="0.25">
      <c r="M840" s="21"/>
      <c r="N840" s="13"/>
      <c r="O840" s="13"/>
      <c r="P840" s="13"/>
      <c r="Q840" s="14"/>
    </row>
    <row r="841" spans="13:17" ht="15.75" customHeight="1" x14ac:dyDescent="0.25">
      <c r="M841" s="21"/>
      <c r="N841" s="13"/>
      <c r="O841" s="13"/>
      <c r="P841" s="13"/>
      <c r="Q841" s="14"/>
    </row>
    <row r="842" spans="13:17" ht="15.75" customHeight="1" x14ac:dyDescent="0.25">
      <c r="M842" s="21"/>
      <c r="N842" s="13"/>
      <c r="O842" s="13"/>
      <c r="P842" s="13"/>
      <c r="Q842" s="14"/>
    </row>
    <row r="843" spans="13:17" ht="15.75" customHeight="1" x14ac:dyDescent="0.25">
      <c r="M843" s="21"/>
      <c r="N843" s="13"/>
      <c r="O843" s="13"/>
      <c r="P843" s="13"/>
      <c r="Q843" s="14"/>
    </row>
    <row r="844" spans="13:17" ht="15.75" customHeight="1" x14ac:dyDescent="0.25">
      <c r="M844" s="21"/>
      <c r="N844" s="13"/>
      <c r="O844" s="13"/>
      <c r="P844" s="13"/>
      <c r="Q844" s="14"/>
    </row>
    <row r="845" spans="13:17" ht="15.75" customHeight="1" x14ac:dyDescent="0.25">
      <c r="M845" s="21"/>
      <c r="N845" s="13"/>
      <c r="O845" s="13"/>
      <c r="P845" s="13"/>
      <c r="Q845" s="14"/>
    </row>
    <row r="846" spans="13:17" ht="15.75" customHeight="1" x14ac:dyDescent="0.25">
      <c r="M846" s="21"/>
      <c r="N846" s="13"/>
      <c r="O846" s="13"/>
      <c r="P846" s="13"/>
      <c r="Q846" s="14"/>
    </row>
    <row r="847" spans="13:17" ht="15.75" customHeight="1" x14ac:dyDescent="0.25">
      <c r="M847" s="21"/>
      <c r="N847" s="13"/>
      <c r="O847" s="13"/>
      <c r="P847" s="13"/>
      <c r="Q847" s="14"/>
    </row>
    <row r="848" spans="13:17" ht="15.75" customHeight="1" x14ac:dyDescent="0.25">
      <c r="M848" s="21"/>
      <c r="N848" s="13"/>
      <c r="O848" s="13"/>
      <c r="P848" s="13"/>
      <c r="Q848" s="14"/>
    </row>
    <row r="849" spans="13:17" ht="15.75" customHeight="1" x14ac:dyDescent="0.25">
      <c r="M849" s="21"/>
      <c r="N849" s="13"/>
      <c r="O849" s="13"/>
      <c r="P849" s="13"/>
      <c r="Q849" s="14"/>
    </row>
    <row r="850" spans="13:17" ht="15.75" customHeight="1" x14ac:dyDescent="0.25">
      <c r="M850" s="21"/>
      <c r="N850" s="13"/>
      <c r="O850" s="13"/>
      <c r="P850" s="13"/>
      <c r="Q850" s="14"/>
    </row>
    <row r="851" spans="13:17" ht="15.75" customHeight="1" x14ac:dyDescent="0.25">
      <c r="M851" s="21"/>
      <c r="N851" s="13"/>
      <c r="O851" s="13"/>
      <c r="P851" s="13"/>
      <c r="Q851" s="14"/>
    </row>
    <row r="852" spans="13:17" ht="15.75" customHeight="1" x14ac:dyDescent="0.25">
      <c r="M852" s="21"/>
      <c r="N852" s="13"/>
      <c r="O852" s="13"/>
      <c r="P852" s="13"/>
      <c r="Q852" s="14"/>
    </row>
    <row r="853" spans="13:17" ht="15.75" customHeight="1" x14ac:dyDescent="0.25">
      <c r="M853" s="21"/>
      <c r="N853" s="13"/>
      <c r="O853" s="13"/>
      <c r="P853" s="13"/>
      <c r="Q853" s="14"/>
    </row>
    <row r="854" spans="13:17" ht="15.75" customHeight="1" x14ac:dyDescent="0.25">
      <c r="M854" s="21"/>
      <c r="N854" s="13"/>
      <c r="O854" s="13"/>
      <c r="P854" s="13"/>
      <c r="Q854" s="14"/>
    </row>
    <row r="855" spans="13:17" ht="15.75" customHeight="1" x14ac:dyDescent="0.25">
      <c r="M855" s="21"/>
      <c r="N855" s="13"/>
      <c r="O855" s="13"/>
      <c r="P855" s="13"/>
      <c r="Q855" s="14"/>
    </row>
    <row r="856" spans="13:17" ht="15.75" customHeight="1" x14ac:dyDescent="0.25">
      <c r="M856" s="21"/>
      <c r="N856" s="13"/>
      <c r="O856" s="13"/>
      <c r="P856" s="13"/>
      <c r="Q856" s="14"/>
    </row>
    <row r="857" spans="13:17" ht="15.75" customHeight="1" x14ac:dyDescent="0.25">
      <c r="M857" s="21"/>
      <c r="N857" s="13"/>
      <c r="O857" s="13"/>
      <c r="P857" s="13"/>
      <c r="Q857" s="14"/>
    </row>
    <row r="858" spans="13:17" ht="15.75" customHeight="1" x14ac:dyDescent="0.25">
      <c r="M858" s="21"/>
      <c r="N858" s="13"/>
      <c r="O858" s="13"/>
      <c r="P858" s="13"/>
      <c r="Q858" s="14"/>
    </row>
    <row r="859" spans="13:17" ht="15.75" customHeight="1" x14ac:dyDescent="0.25">
      <c r="M859" s="21"/>
      <c r="N859" s="13"/>
      <c r="O859" s="13"/>
      <c r="P859" s="13"/>
      <c r="Q859" s="14"/>
    </row>
    <row r="860" spans="13:17" ht="15.75" customHeight="1" x14ac:dyDescent="0.25">
      <c r="M860" s="21"/>
      <c r="N860" s="13"/>
      <c r="O860" s="13"/>
      <c r="P860" s="13"/>
      <c r="Q860" s="14"/>
    </row>
    <row r="861" spans="13:17" ht="15.75" customHeight="1" x14ac:dyDescent="0.25">
      <c r="M861" s="21"/>
      <c r="N861" s="13"/>
      <c r="O861" s="13"/>
      <c r="P861" s="13"/>
      <c r="Q861" s="14"/>
    </row>
    <row r="862" spans="13:17" ht="15.75" customHeight="1" x14ac:dyDescent="0.25">
      <c r="M862" s="21"/>
      <c r="N862" s="13"/>
      <c r="O862" s="13"/>
      <c r="P862" s="13"/>
      <c r="Q862" s="14"/>
    </row>
    <row r="863" spans="13:17" ht="15.75" customHeight="1" x14ac:dyDescent="0.25">
      <c r="M863" s="21"/>
      <c r="N863" s="13"/>
      <c r="O863" s="13"/>
      <c r="P863" s="13"/>
      <c r="Q863" s="14"/>
    </row>
    <row r="864" spans="13:17" ht="15.75" customHeight="1" x14ac:dyDescent="0.25">
      <c r="M864" s="21"/>
      <c r="N864" s="13"/>
      <c r="O864" s="13"/>
      <c r="P864" s="13"/>
      <c r="Q864" s="14"/>
    </row>
    <row r="865" spans="13:17" ht="15.75" customHeight="1" x14ac:dyDescent="0.25">
      <c r="M865" s="21"/>
      <c r="N865" s="13"/>
      <c r="O865" s="13"/>
      <c r="P865" s="13"/>
      <c r="Q865" s="14"/>
    </row>
    <row r="866" spans="13:17" ht="15.75" customHeight="1" x14ac:dyDescent="0.25">
      <c r="M866" s="21"/>
      <c r="N866" s="13"/>
      <c r="O866" s="13"/>
      <c r="P866" s="13"/>
      <c r="Q866" s="14"/>
    </row>
    <row r="867" spans="13:17" ht="15.75" customHeight="1" x14ac:dyDescent="0.25">
      <c r="M867" s="21"/>
      <c r="N867" s="13"/>
      <c r="O867" s="13"/>
      <c r="P867" s="13"/>
      <c r="Q867" s="14"/>
    </row>
    <row r="868" spans="13:17" ht="15.75" customHeight="1" x14ac:dyDescent="0.25">
      <c r="M868" s="21"/>
      <c r="N868" s="13"/>
      <c r="O868" s="13"/>
      <c r="P868" s="13"/>
      <c r="Q868" s="14"/>
    </row>
    <row r="869" spans="13:17" ht="15.75" customHeight="1" x14ac:dyDescent="0.25">
      <c r="M869" s="21"/>
      <c r="N869" s="13"/>
      <c r="O869" s="13"/>
      <c r="P869" s="13"/>
      <c r="Q869" s="14"/>
    </row>
    <row r="870" spans="13:17" ht="15.75" customHeight="1" x14ac:dyDescent="0.25">
      <c r="M870" s="21"/>
      <c r="N870" s="13"/>
      <c r="O870" s="13"/>
      <c r="P870" s="13"/>
      <c r="Q870" s="14"/>
    </row>
    <row r="871" spans="13:17" ht="15.75" customHeight="1" x14ac:dyDescent="0.25">
      <c r="M871" s="21"/>
      <c r="N871" s="13"/>
      <c r="O871" s="13"/>
      <c r="P871" s="13"/>
      <c r="Q871" s="14"/>
    </row>
    <row r="872" spans="13:17" ht="15.75" customHeight="1" x14ac:dyDescent="0.25">
      <c r="M872" s="21"/>
      <c r="N872" s="13"/>
      <c r="O872" s="13"/>
      <c r="P872" s="13"/>
      <c r="Q872" s="14"/>
    </row>
    <row r="873" spans="13:17" ht="15.75" customHeight="1" x14ac:dyDescent="0.25">
      <c r="M873" s="21"/>
      <c r="N873" s="13"/>
      <c r="O873" s="13"/>
      <c r="P873" s="13"/>
      <c r="Q873" s="14"/>
    </row>
    <row r="874" spans="13:17" ht="15.75" customHeight="1" x14ac:dyDescent="0.25">
      <c r="M874" s="21"/>
      <c r="N874" s="13"/>
      <c r="O874" s="13"/>
      <c r="P874" s="13"/>
      <c r="Q874" s="14"/>
    </row>
    <row r="875" spans="13:17" ht="15.75" customHeight="1" x14ac:dyDescent="0.25">
      <c r="M875" s="21"/>
      <c r="N875" s="13"/>
      <c r="O875" s="13"/>
      <c r="P875" s="13"/>
      <c r="Q875" s="14"/>
    </row>
    <row r="876" spans="13:17" ht="15.75" customHeight="1" x14ac:dyDescent="0.25">
      <c r="M876" s="21"/>
      <c r="N876" s="13"/>
      <c r="O876" s="13"/>
      <c r="P876" s="13"/>
      <c r="Q876" s="14"/>
    </row>
    <row r="877" spans="13:17" ht="15.75" customHeight="1" x14ac:dyDescent="0.25">
      <c r="M877" s="21"/>
      <c r="N877" s="13"/>
      <c r="O877" s="13"/>
      <c r="P877" s="13"/>
      <c r="Q877" s="14"/>
    </row>
    <row r="878" spans="13:17" ht="15.75" customHeight="1" x14ac:dyDescent="0.25">
      <c r="M878" s="21"/>
      <c r="N878" s="13"/>
      <c r="O878" s="13"/>
      <c r="P878" s="13"/>
      <c r="Q878" s="14"/>
    </row>
    <row r="879" spans="13:17" ht="15.75" customHeight="1" x14ac:dyDescent="0.25">
      <c r="M879" s="21"/>
      <c r="N879" s="13"/>
      <c r="O879" s="13"/>
      <c r="P879" s="13"/>
      <c r="Q879" s="14"/>
    </row>
    <row r="880" spans="13:17" ht="15.75" customHeight="1" x14ac:dyDescent="0.25">
      <c r="M880" s="21"/>
      <c r="N880" s="13"/>
      <c r="O880" s="13"/>
      <c r="P880" s="13"/>
      <c r="Q880" s="14"/>
    </row>
    <row r="881" spans="13:17" ht="15.75" customHeight="1" x14ac:dyDescent="0.25">
      <c r="M881" s="21"/>
      <c r="N881" s="13"/>
      <c r="O881" s="13"/>
      <c r="P881" s="13"/>
      <c r="Q881" s="14"/>
    </row>
    <row r="882" spans="13:17" ht="15.75" customHeight="1" x14ac:dyDescent="0.25">
      <c r="M882" s="21"/>
      <c r="N882" s="13"/>
      <c r="O882" s="13"/>
      <c r="P882" s="13"/>
      <c r="Q882" s="14"/>
    </row>
    <row r="883" spans="13:17" ht="15.75" customHeight="1" x14ac:dyDescent="0.25">
      <c r="M883" s="21"/>
      <c r="N883" s="13"/>
      <c r="O883" s="13"/>
      <c r="P883" s="13"/>
      <c r="Q883" s="14"/>
    </row>
    <row r="884" spans="13:17" ht="15.75" customHeight="1" x14ac:dyDescent="0.25">
      <c r="M884" s="21"/>
      <c r="N884" s="13"/>
      <c r="O884" s="13"/>
      <c r="P884" s="13"/>
      <c r="Q884" s="14"/>
    </row>
    <row r="885" spans="13:17" ht="15.75" customHeight="1" x14ac:dyDescent="0.25">
      <c r="M885" s="21"/>
      <c r="N885" s="13"/>
      <c r="O885" s="13"/>
      <c r="P885" s="13"/>
      <c r="Q885" s="14"/>
    </row>
    <row r="886" spans="13:17" ht="15.75" customHeight="1" x14ac:dyDescent="0.25">
      <c r="M886" s="21"/>
      <c r="N886" s="13"/>
      <c r="O886" s="13"/>
      <c r="P886" s="13"/>
      <c r="Q886" s="14"/>
    </row>
    <row r="887" spans="13:17" ht="15.75" customHeight="1" x14ac:dyDescent="0.25">
      <c r="M887" s="21"/>
      <c r="N887" s="13"/>
      <c r="O887" s="13"/>
      <c r="P887" s="13"/>
      <c r="Q887" s="14"/>
    </row>
    <row r="888" spans="13:17" ht="15.75" customHeight="1" x14ac:dyDescent="0.25">
      <c r="M888" s="21"/>
      <c r="N888" s="13"/>
      <c r="O888" s="13"/>
      <c r="P888" s="13"/>
      <c r="Q888" s="14"/>
    </row>
    <row r="889" spans="13:17" ht="15.75" customHeight="1" x14ac:dyDescent="0.25">
      <c r="M889" s="21"/>
      <c r="N889" s="13"/>
      <c r="O889" s="13"/>
      <c r="P889" s="13"/>
      <c r="Q889" s="14"/>
    </row>
    <row r="890" spans="13:17" ht="15.75" customHeight="1" x14ac:dyDescent="0.25">
      <c r="M890" s="21"/>
      <c r="N890" s="13"/>
      <c r="O890" s="13"/>
      <c r="P890" s="13"/>
      <c r="Q890" s="14"/>
    </row>
    <row r="891" spans="13:17" ht="15.75" customHeight="1" x14ac:dyDescent="0.25">
      <c r="M891" s="21"/>
      <c r="N891" s="13"/>
      <c r="O891" s="13"/>
      <c r="P891" s="13"/>
      <c r="Q891" s="14"/>
    </row>
    <row r="892" spans="13:17" ht="15.75" customHeight="1" x14ac:dyDescent="0.25">
      <c r="M892" s="21"/>
      <c r="N892" s="13"/>
      <c r="O892" s="13"/>
      <c r="P892" s="13"/>
      <c r="Q892" s="14"/>
    </row>
    <row r="893" spans="13:17" ht="15.75" customHeight="1" x14ac:dyDescent="0.25">
      <c r="M893" s="21"/>
      <c r="N893" s="13"/>
      <c r="O893" s="13"/>
      <c r="P893" s="13"/>
      <c r="Q893" s="14"/>
    </row>
    <row r="894" spans="13:17" ht="15.75" customHeight="1" x14ac:dyDescent="0.25">
      <c r="M894" s="21"/>
      <c r="N894" s="13"/>
      <c r="O894" s="13"/>
      <c r="P894" s="13"/>
      <c r="Q894" s="14"/>
    </row>
    <row r="895" spans="13:17" ht="15.75" customHeight="1" x14ac:dyDescent="0.25">
      <c r="M895" s="21"/>
      <c r="N895" s="13"/>
      <c r="O895" s="13"/>
      <c r="P895" s="13"/>
      <c r="Q895" s="14"/>
    </row>
    <row r="896" spans="13:17" ht="15.75" customHeight="1" x14ac:dyDescent="0.25">
      <c r="M896" s="21"/>
      <c r="N896" s="13"/>
      <c r="O896" s="13"/>
      <c r="P896" s="13"/>
      <c r="Q896" s="14"/>
    </row>
    <row r="897" spans="13:17" ht="15.75" customHeight="1" x14ac:dyDescent="0.25">
      <c r="M897" s="21"/>
      <c r="N897" s="13"/>
      <c r="O897" s="13"/>
      <c r="P897" s="13"/>
      <c r="Q897" s="14"/>
    </row>
    <row r="898" spans="13:17" ht="15.75" customHeight="1" x14ac:dyDescent="0.25">
      <c r="M898" s="21"/>
      <c r="N898" s="13"/>
      <c r="O898" s="13"/>
      <c r="P898" s="13"/>
      <c r="Q898" s="14"/>
    </row>
    <row r="899" spans="13:17" ht="15.75" customHeight="1" x14ac:dyDescent="0.25">
      <c r="M899" s="21"/>
      <c r="N899" s="13"/>
      <c r="O899" s="13"/>
      <c r="P899" s="13"/>
      <c r="Q899" s="14"/>
    </row>
    <row r="900" spans="13:17" ht="15.75" customHeight="1" x14ac:dyDescent="0.25">
      <c r="M900" s="21"/>
      <c r="N900" s="13"/>
      <c r="O900" s="13"/>
      <c r="P900" s="13"/>
      <c r="Q900" s="14"/>
    </row>
    <row r="901" spans="13:17" ht="15.75" customHeight="1" x14ac:dyDescent="0.25">
      <c r="M901" s="21"/>
      <c r="N901" s="13"/>
      <c r="O901" s="13"/>
      <c r="P901" s="13"/>
      <c r="Q901" s="14"/>
    </row>
    <row r="902" spans="13:17" ht="15.75" customHeight="1" x14ac:dyDescent="0.25">
      <c r="M902" s="21"/>
      <c r="N902" s="13"/>
      <c r="O902" s="13"/>
      <c r="P902" s="13"/>
      <c r="Q902" s="14"/>
    </row>
    <row r="903" spans="13:17" ht="15.75" customHeight="1" x14ac:dyDescent="0.25">
      <c r="M903" s="21"/>
      <c r="N903" s="13"/>
      <c r="O903" s="13"/>
      <c r="P903" s="13"/>
      <c r="Q903" s="14"/>
    </row>
    <row r="904" spans="13:17" ht="15.75" customHeight="1" x14ac:dyDescent="0.25">
      <c r="M904" s="21"/>
      <c r="N904" s="13"/>
      <c r="O904" s="13"/>
      <c r="P904" s="13"/>
      <c r="Q904" s="14"/>
    </row>
    <row r="905" spans="13:17" ht="15.75" customHeight="1" x14ac:dyDescent="0.25">
      <c r="M905" s="21"/>
      <c r="N905" s="13"/>
      <c r="O905" s="13"/>
      <c r="P905" s="13"/>
      <c r="Q905" s="14"/>
    </row>
    <row r="906" spans="13:17" ht="15.75" customHeight="1" x14ac:dyDescent="0.25">
      <c r="M906" s="21"/>
      <c r="N906" s="13"/>
      <c r="O906" s="13"/>
      <c r="P906" s="13"/>
      <c r="Q906" s="14"/>
    </row>
    <row r="907" spans="13:17" ht="15.75" customHeight="1" x14ac:dyDescent="0.25">
      <c r="M907" s="21"/>
      <c r="N907" s="13"/>
      <c r="O907" s="13"/>
      <c r="P907" s="13"/>
      <c r="Q907" s="14"/>
    </row>
    <row r="908" spans="13:17" ht="15.75" customHeight="1" x14ac:dyDescent="0.25">
      <c r="M908" s="21"/>
      <c r="N908" s="13"/>
      <c r="O908" s="13"/>
      <c r="P908" s="13"/>
      <c r="Q908" s="14"/>
    </row>
    <row r="909" spans="13:17" ht="15.75" customHeight="1" x14ac:dyDescent="0.25">
      <c r="M909" s="21"/>
      <c r="N909" s="13"/>
      <c r="O909" s="13"/>
      <c r="P909" s="13"/>
      <c r="Q909" s="14"/>
    </row>
    <row r="910" spans="13:17" ht="15.75" customHeight="1" x14ac:dyDescent="0.25">
      <c r="M910" s="21"/>
      <c r="N910" s="13"/>
      <c r="O910" s="13"/>
      <c r="P910" s="13"/>
      <c r="Q910" s="14"/>
    </row>
    <row r="911" spans="13:17" ht="15.75" customHeight="1" x14ac:dyDescent="0.25">
      <c r="M911" s="21"/>
      <c r="N911" s="13"/>
      <c r="O911" s="13"/>
      <c r="P911" s="13"/>
      <c r="Q911" s="14"/>
    </row>
    <row r="912" spans="13:17" ht="15.75" customHeight="1" x14ac:dyDescent="0.25">
      <c r="M912" s="21"/>
      <c r="N912" s="13"/>
      <c r="O912" s="13"/>
      <c r="P912" s="13"/>
      <c r="Q912" s="14"/>
    </row>
    <row r="913" spans="13:17" ht="15.75" customHeight="1" x14ac:dyDescent="0.25">
      <c r="M913" s="21"/>
      <c r="N913" s="13"/>
      <c r="O913" s="13"/>
      <c r="P913" s="13"/>
      <c r="Q913" s="14"/>
    </row>
    <row r="914" spans="13:17" ht="15.75" customHeight="1" x14ac:dyDescent="0.25">
      <c r="M914" s="21"/>
      <c r="N914" s="13"/>
      <c r="O914" s="13"/>
      <c r="P914" s="13"/>
      <c r="Q914" s="14"/>
    </row>
    <row r="915" spans="13:17" ht="15.75" customHeight="1" x14ac:dyDescent="0.25">
      <c r="M915" s="21"/>
      <c r="N915" s="13"/>
      <c r="O915" s="13"/>
      <c r="P915" s="13"/>
      <c r="Q915" s="14"/>
    </row>
    <row r="916" spans="13:17" ht="15.75" customHeight="1" x14ac:dyDescent="0.25">
      <c r="M916" s="21"/>
      <c r="N916" s="13"/>
      <c r="O916" s="13"/>
      <c r="P916" s="13"/>
      <c r="Q916" s="14"/>
    </row>
    <row r="917" spans="13:17" ht="15.75" customHeight="1" x14ac:dyDescent="0.25">
      <c r="M917" s="21"/>
      <c r="N917" s="13"/>
      <c r="O917" s="13"/>
      <c r="P917" s="13"/>
      <c r="Q917" s="14"/>
    </row>
    <row r="918" spans="13:17" ht="15.75" customHeight="1" x14ac:dyDescent="0.25">
      <c r="M918" s="21"/>
      <c r="N918" s="13"/>
      <c r="O918" s="13"/>
      <c r="P918" s="13"/>
      <c r="Q918" s="14"/>
    </row>
    <row r="919" spans="13:17" ht="15.75" customHeight="1" x14ac:dyDescent="0.25">
      <c r="M919" s="21"/>
      <c r="N919" s="13"/>
      <c r="O919" s="13"/>
      <c r="P919" s="13"/>
      <c r="Q919" s="14"/>
    </row>
    <row r="920" spans="13:17" ht="15.75" customHeight="1" x14ac:dyDescent="0.25">
      <c r="M920" s="21"/>
      <c r="N920" s="13"/>
      <c r="O920" s="13"/>
      <c r="P920" s="13"/>
      <c r="Q920" s="14"/>
    </row>
    <row r="921" spans="13:17" ht="15.75" customHeight="1" x14ac:dyDescent="0.25">
      <c r="M921" s="21"/>
      <c r="N921" s="13"/>
      <c r="O921" s="13"/>
      <c r="P921" s="13"/>
      <c r="Q921" s="14"/>
    </row>
    <row r="922" spans="13:17" ht="15.75" customHeight="1" x14ac:dyDescent="0.25">
      <c r="M922" s="21"/>
      <c r="N922" s="13"/>
      <c r="O922" s="13"/>
      <c r="P922" s="13"/>
      <c r="Q922" s="14"/>
    </row>
    <row r="923" spans="13:17" ht="15.75" customHeight="1" x14ac:dyDescent="0.25">
      <c r="M923" s="21"/>
      <c r="N923" s="13"/>
      <c r="O923" s="13"/>
      <c r="P923" s="13"/>
      <c r="Q923" s="14"/>
    </row>
    <row r="924" spans="13:17" ht="15.75" customHeight="1" x14ac:dyDescent="0.25">
      <c r="M924" s="21"/>
      <c r="N924" s="13"/>
      <c r="O924" s="13"/>
      <c r="P924" s="13"/>
      <c r="Q924" s="14"/>
    </row>
    <row r="925" spans="13:17" ht="15.75" customHeight="1" x14ac:dyDescent="0.25">
      <c r="M925" s="21"/>
      <c r="N925" s="13"/>
      <c r="O925" s="13"/>
      <c r="P925" s="13"/>
      <c r="Q925" s="14"/>
    </row>
    <row r="926" spans="13:17" ht="15.75" customHeight="1" x14ac:dyDescent="0.25">
      <c r="M926" s="21"/>
      <c r="N926" s="13"/>
      <c r="O926" s="13"/>
      <c r="P926" s="13"/>
      <c r="Q926" s="14"/>
    </row>
    <row r="927" spans="13:17" ht="15.75" customHeight="1" x14ac:dyDescent="0.25">
      <c r="M927" s="21"/>
      <c r="N927" s="13"/>
      <c r="O927" s="13"/>
      <c r="P927" s="13"/>
      <c r="Q927" s="14"/>
    </row>
    <row r="928" spans="13:17" ht="15.75" customHeight="1" x14ac:dyDescent="0.25">
      <c r="M928" s="21"/>
      <c r="N928" s="13"/>
      <c r="O928" s="13"/>
      <c r="P928" s="13"/>
      <c r="Q928" s="14"/>
    </row>
    <row r="929" spans="13:17" ht="15.75" customHeight="1" x14ac:dyDescent="0.25">
      <c r="M929" s="21"/>
      <c r="N929" s="13"/>
      <c r="O929" s="13"/>
      <c r="P929" s="13"/>
      <c r="Q929" s="14"/>
    </row>
    <row r="930" spans="13:17" ht="15.75" customHeight="1" x14ac:dyDescent="0.25">
      <c r="M930" s="21"/>
      <c r="N930" s="13"/>
      <c r="O930" s="13"/>
      <c r="P930" s="13"/>
      <c r="Q930" s="14"/>
    </row>
    <row r="931" spans="13:17" ht="15.75" customHeight="1" x14ac:dyDescent="0.25">
      <c r="M931" s="21"/>
      <c r="N931" s="13"/>
      <c r="O931" s="13"/>
      <c r="P931" s="13"/>
      <c r="Q931" s="14"/>
    </row>
    <row r="932" spans="13:17" ht="15.75" customHeight="1" x14ac:dyDescent="0.25">
      <c r="M932" s="21"/>
      <c r="N932" s="13"/>
      <c r="O932" s="13"/>
      <c r="P932" s="13"/>
      <c r="Q932" s="14"/>
    </row>
    <row r="933" spans="13:17" ht="15.75" customHeight="1" x14ac:dyDescent="0.25">
      <c r="M933" s="21"/>
      <c r="N933" s="13"/>
      <c r="O933" s="13"/>
      <c r="P933" s="13"/>
      <c r="Q933" s="14"/>
    </row>
    <row r="934" spans="13:17" ht="15.75" customHeight="1" x14ac:dyDescent="0.25">
      <c r="M934" s="21"/>
      <c r="N934" s="13"/>
      <c r="O934" s="13"/>
      <c r="P934" s="13"/>
      <c r="Q934" s="14"/>
    </row>
    <row r="935" spans="13:17" ht="15.75" customHeight="1" x14ac:dyDescent="0.25">
      <c r="M935" s="21"/>
      <c r="N935" s="13"/>
      <c r="O935" s="13"/>
      <c r="P935" s="13"/>
      <c r="Q935" s="14"/>
    </row>
    <row r="936" spans="13:17" ht="15.75" customHeight="1" x14ac:dyDescent="0.25">
      <c r="M936" s="21"/>
      <c r="N936" s="13"/>
      <c r="O936" s="13"/>
      <c r="P936" s="13"/>
      <c r="Q936" s="14"/>
    </row>
    <row r="937" spans="13:17" ht="15.75" customHeight="1" x14ac:dyDescent="0.25">
      <c r="M937" s="21"/>
      <c r="N937" s="13"/>
      <c r="O937" s="13"/>
      <c r="P937" s="13"/>
      <c r="Q937" s="14"/>
    </row>
    <row r="938" spans="13:17" ht="15.75" customHeight="1" x14ac:dyDescent="0.25">
      <c r="M938" s="21"/>
      <c r="N938" s="13"/>
      <c r="O938" s="13"/>
      <c r="P938" s="13"/>
      <c r="Q938" s="14"/>
    </row>
    <row r="939" spans="13:17" ht="15.75" customHeight="1" x14ac:dyDescent="0.25">
      <c r="M939" s="21"/>
      <c r="N939" s="13"/>
      <c r="O939" s="13"/>
      <c r="P939" s="13"/>
      <c r="Q939" s="14"/>
    </row>
    <row r="940" spans="13:17" ht="15.75" customHeight="1" x14ac:dyDescent="0.25">
      <c r="M940" s="21"/>
      <c r="N940" s="13"/>
      <c r="O940" s="13"/>
      <c r="P940" s="13"/>
      <c r="Q940" s="14"/>
    </row>
    <row r="941" spans="13:17" ht="15.75" customHeight="1" x14ac:dyDescent="0.25">
      <c r="M941" s="21"/>
      <c r="N941" s="13"/>
      <c r="O941" s="13"/>
      <c r="P941" s="13"/>
      <c r="Q941" s="14"/>
    </row>
    <row r="942" spans="13:17" ht="15.75" customHeight="1" x14ac:dyDescent="0.25">
      <c r="M942" s="21"/>
      <c r="N942" s="13"/>
      <c r="O942" s="13"/>
      <c r="P942" s="13"/>
      <c r="Q942" s="14"/>
    </row>
    <row r="943" spans="13:17" ht="15.75" customHeight="1" x14ac:dyDescent="0.25">
      <c r="M943" s="21"/>
      <c r="N943" s="13"/>
      <c r="O943" s="13"/>
      <c r="P943" s="13"/>
      <c r="Q943" s="14"/>
    </row>
    <row r="944" spans="13:17" ht="15.75" customHeight="1" x14ac:dyDescent="0.25">
      <c r="M944" s="21"/>
      <c r="N944" s="13"/>
      <c r="O944" s="13"/>
      <c r="P944" s="13"/>
      <c r="Q944" s="14"/>
    </row>
    <row r="945" spans="13:17" ht="15.75" customHeight="1" x14ac:dyDescent="0.25">
      <c r="M945" s="21"/>
      <c r="N945" s="13"/>
      <c r="O945" s="13"/>
      <c r="P945" s="13"/>
      <c r="Q945" s="14"/>
    </row>
    <row r="946" spans="13:17" ht="15.75" customHeight="1" x14ac:dyDescent="0.25">
      <c r="M946" s="21"/>
      <c r="N946" s="13"/>
      <c r="O946" s="13"/>
      <c r="P946" s="13"/>
      <c r="Q946" s="14"/>
    </row>
    <row r="947" spans="13:17" ht="15.75" customHeight="1" x14ac:dyDescent="0.25">
      <c r="M947" s="21"/>
      <c r="N947" s="13"/>
      <c r="O947" s="13"/>
      <c r="P947" s="13"/>
      <c r="Q947" s="14"/>
    </row>
    <row r="948" spans="13:17" ht="15.75" customHeight="1" x14ac:dyDescent="0.25">
      <c r="M948" s="21"/>
      <c r="N948" s="13"/>
      <c r="O948" s="13"/>
      <c r="P948" s="13"/>
      <c r="Q948" s="14"/>
    </row>
    <row r="949" spans="13:17" ht="15.75" customHeight="1" x14ac:dyDescent="0.25">
      <c r="M949" s="21"/>
      <c r="N949" s="13"/>
      <c r="O949" s="13"/>
      <c r="P949" s="13"/>
      <c r="Q949" s="14"/>
    </row>
    <row r="950" spans="13:17" ht="15.75" customHeight="1" x14ac:dyDescent="0.25">
      <c r="M950" s="21"/>
      <c r="N950" s="13"/>
      <c r="O950" s="13"/>
      <c r="P950" s="13"/>
      <c r="Q950" s="14"/>
    </row>
    <row r="951" spans="13:17" ht="15.75" customHeight="1" x14ac:dyDescent="0.25">
      <c r="M951" s="21"/>
      <c r="N951" s="13"/>
      <c r="O951" s="13"/>
      <c r="P951" s="13"/>
      <c r="Q951" s="14"/>
    </row>
    <row r="952" spans="13:17" ht="15.75" customHeight="1" x14ac:dyDescent="0.25">
      <c r="M952" s="21"/>
      <c r="N952" s="13"/>
      <c r="O952" s="13"/>
      <c r="P952" s="13"/>
      <c r="Q952" s="14"/>
    </row>
    <row r="953" spans="13:17" ht="15.75" customHeight="1" x14ac:dyDescent="0.25">
      <c r="M953" s="21"/>
      <c r="N953" s="13"/>
      <c r="O953" s="13"/>
      <c r="P953" s="13"/>
      <c r="Q953" s="14"/>
    </row>
    <row r="954" spans="13:17" ht="15.75" customHeight="1" x14ac:dyDescent="0.25">
      <c r="M954" s="21"/>
      <c r="N954" s="13"/>
      <c r="O954" s="13"/>
      <c r="P954" s="13"/>
      <c r="Q954" s="14"/>
    </row>
    <row r="955" spans="13:17" ht="15.75" customHeight="1" x14ac:dyDescent="0.25">
      <c r="M955" s="21"/>
      <c r="N955" s="13"/>
      <c r="O955" s="13"/>
      <c r="P955" s="13"/>
      <c r="Q955" s="14"/>
    </row>
    <row r="956" spans="13:17" ht="15.75" customHeight="1" x14ac:dyDescent="0.25">
      <c r="M956" s="21"/>
      <c r="N956" s="13"/>
      <c r="O956" s="13"/>
      <c r="P956" s="13"/>
      <c r="Q956" s="14"/>
    </row>
    <row r="957" spans="13:17" ht="15.75" customHeight="1" x14ac:dyDescent="0.25">
      <c r="M957" s="21"/>
      <c r="N957" s="13"/>
      <c r="O957" s="13"/>
      <c r="P957" s="13"/>
      <c r="Q957" s="14"/>
    </row>
    <row r="958" spans="13:17" ht="15.75" customHeight="1" x14ac:dyDescent="0.25">
      <c r="M958" s="21"/>
      <c r="N958" s="13"/>
      <c r="O958" s="13"/>
      <c r="P958" s="13"/>
      <c r="Q958" s="14"/>
    </row>
    <row r="959" spans="13:17" ht="15.75" customHeight="1" x14ac:dyDescent="0.25">
      <c r="M959" s="21"/>
      <c r="N959" s="13"/>
      <c r="O959" s="13"/>
      <c r="P959" s="13"/>
      <c r="Q959" s="14"/>
    </row>
    <row r="960" spans="13:17" ht="15.75" customHeight="1" x14ac:dyDescent="0.25">
      <c r="M960" s="21"/>
      <c r="N960" s="13"/>
      <c r="O960" s="13"/>
      <c r="P960" s="13"/>
      <c r="Q960" s="14"/>
    </row>
    <row r="961" spans="13:17" ht="15.75" customHeight="1" x14ac:dyDescent="0.25">
      <c r="M961" s="21"/>
      <c r="N961" s="13"/>
      <c r="O961" s="13"/>
      <c r="P961" s="13"/>
      <c r="Q961" s="14"/>
    </row>
    <row r="962" spans="13:17" ht="15.75" customHeight="1" x14ac:dyDescent="0.25">
      <c r="M962" s="21"/>
      <c r="N962" s="13"/>
      <c r="O962" s="13"/>
      <c r="P962" s="13"/>
      <c r="Q962" s="14"/>
    </row>
    <row r="963" spans="13:17" ht="15.75" customHeight="1" x14ac:dyDescent="0.25">
      <c r="M963" s="21"/>
      <c r="N963" s="13"/>
      <c r="O963" s="13"/>
      <c r="P963" s="13"/>
      <c r="Q963" s="14"/>
    </row>
    <row r="964" spans="13:17" ht="15.75" customHeight="1" x14ac:dyDescent="0.25">
      <c r="M964" s="21"/>
      <c r="N964" s="13"/>
      <c r="O964" s="13"/>
      <c r="P964" s="13"/>
      <c r="Q964" s="14"/>
    </row>
    <row r="965" spans="13:17" ht="15.75" customHeight="1" x14ac:dyDescent="0.25">
      <c r="M965" s="21"/>
      <c r="N965" s="13"/>
      <c r="O965" s="13"/>
      <c r="P965" s="13"/>
      <c r="Q965" s="14"/>
    </row>
    <row r="966" spans="13:17" ht="15.75" customHeight="1" x14ac:dyDescent="0.25">
      <c r="M966" s="21"/>
      <c r="N966" s="13"/>
      <c r="O966" s="13"/>
      <c r="P966" s="13"/>
      <c r="Q966" s="14"/>
    </row>
    <row r="967" spans="13:17" ht="15.75" customHeight="1" x14ac:dyDescent="0.25">
      <c r="M967" s="21"/>
      <c r="N967" s="13"/>
      <c r="O967" s="13"/>
      <c r="P967" s="13"/>
      <c r="Q967" s="14"/>
    </row>
    <row r="968" spans="13:17" ht="15.75" customHeight="1" x14ac:dyDescent="0.25">
      <c r="M968" s="21"/>
      <c r="N968" s="13"/>
      <c r="O968" s="13"/>
      <c r="P968" s="13"/>
      <c r="Q968" s="14"/>
    </row>
    <row r="969" spans="13:17" ht="15.75" customHeight="1" x14ac:dyDescent="0.25">
      <c r="M969" s="21"/>
      <c r="N969" s="13"/>
      <c r="O969" s="13"/>
      <c r="P969" s="13"/>
      <c r="Q969" s="14"/>
    </row>
    <row r="970" spans="13:17" ht="15.75" customHeight="1" x14ac:dyDescent="0.25">
      <c r="M970" s="21"/>
      <c r="N970" s="13"/>
      <c r="O970" s="13"/>
      <c r="P970" s="13"/>
      <c r="Q970" s="14"/>
    </row>
    <row r="971" spans="13:17" ht="15.75" customHeight="1" x14ac:dyDescent="0.25">
      <c r="M971" s="21"/>
      <c r="N971" s="13"/>
      <c r="O971" s="13"/>
      <c r="P971" s="13"/>
      <c r="Q971" s="14"/>
    </row>
    <row r="972" spans="13:17" ht="15.75" customHeight="1" x14ac:dyDescent="0.25">
      <c r="M972" s="21"/>
      <c r="N972" s="13"/>
      <c r="O972" s="13"/>
      <c r="P972" s="13"/>
      <c r="Q972" s="14"/>
    </row>
    <row r="973" spans="13:17" ht="15.75" customHeight="1" x14ac:dyDescent="0.25">
      <c r="M973" s="21"/>
      <c r="N973" s="13"/>
      <c r="O973" s="13"/>
      <c r="P973" s="13"/>
      <c r="Q973" s="14"/>
    </row>
    <row r="974" spans="13:17" ht="15.75" customHeight="1" x14ac:dyDescent="0.25">
      <c r="M974" s="21"/>
      <c r="N974" s="13"/>
      <c r="O974" s="13"/>
      <c r="P974" s="13"/>
      <c r="Q974" s="14"/>
    </row>
    <row r="975" spans="13:17" ht="15.75" customHeight="1" x14ac:dyDescent="0.25">
      <c r="M975" s="21"/>
      <c r="N975" s="13"/>
      <c r="O975" s="13"/>
      <c r="P975" s="13"/>
      <c r="Q975" s="14"/>
    </row>
    <row r="976" spans="13:17" ht="15.75" customHeight="1" x14ac:dyDescent="0.25">
      <c r="M976" s="21"/>
      <c r="N976" s="13"/>
      <c r="O976" s="13"/>
      <c r="P976" s="13"/>
      <c r="Q976" s="14"/>
    </row>
    <row r="977" spans="13:17" ht="15.75" customHeight="1" x14ac:dyDescent="0.25">
      <c r="M977" s="21"/>
      <c r="N977" s="13"/>
      <c r="O977" s="13"/>
      <c r="P977" s="13"/>
      <c r="Q977" s="14"/>
    </row>
    <row r="978" spans="13:17" ht="15.75" customHeight="1" x14ac:dyDescent="0.25">
      <c r="M978" s="21"/>
      <c r="N978" s="13"/>
      <c r="O978" s="13"/>
      <c r="P978" s="13"/>
      <c r="Q978" s="14"/>
    </row>
    <row r="979" spans="13:17" ht="15.75" customHeight="1" x14ac:dyDescent="0.25">
      <c r="M979" s="21"/>
      <c r="N979" s="13"/>
      <c r="O979" s="13"/>
      <c r="P979" s="13"/>
      <c r="Q979" s="14"/>
    </row>
    <row r="980" spans="13:17" ht="15.75" customHeight="1" x14ac:dyDescent="0.25">
      <c r="M980" s="21"/>
      <c r="N980" s="13"/>
      <c r="O980" s="13"/>
      <c r="P980" s="13"/>
      <c r="Q980" s="14"/>
    </row>
    <row r="981" spans="13:17" ht="15.75" customHeight="1" x14ac:dyDescent="0.25">
      <c r="M981" s="21"/>
      <c r="N981" s="13"/>
      <c r="O981" s="13"/>
      <c r="P981" s="13"/>
      <c r="Q981" s="14"/>
    </row>
    <row r="982" spans="13:17" ht="15.75" customHeight="1" x14ac:dyDescent="0.25">
      <c r="M982" s="21"/>
      <c r="N982" s="13"/>
      <c r="O982" s="13"/>
      <c r="P982" s="13"/>
      <c r="Q982" s="14"/>
    </row>
    <row r="983" spans="13:17" ht="15.75" customHeight="1" x14ac:dyDescent="0.25">
      <c r="M983" s="21"/>
      <c r="N983" s="13"/>
      <c r="O983" s="13"/>
      <c r="P983" s="13"/>
      <c r="Q983" s="14"/>
    </row>
    <row r="984" spans="13:17" ht="15.75" customHeight="1" x14ac:dyDescent="0.25">
      <c r="M984" s="21"/>
      <c r="N984" s="13"/>
      <c r="O984" s="13"/>
      <c r="P984" s="13"/>
      <c r="Q984" s="14"/>
    </row>
    <row r="985" spans="13:17" ht="15.75" customHeight="1" x14ac:dyDescent="0.25">
      <c r="M985" s="21"/>
      <c r="N985" s="13"/>
      <c r="O985" s="13"/>
      <c r="P985" s="13"/>
      <c r="Q985" s="14"/>
    </row>
    <row r="986" spans="13:17" ht="15.75" customHeight="1" x14ac:dyDescent="0.25">
      <c r="M986" s="21"/>
      <c r="N986" s="13"/>
      <c r="O986" s="13"/>
      <c r="P986" s="13"/>
      <c r="Q986" s="14"/>
    </row>
    <row r="987" spans="13:17" ht="15.75" customHeight="1" x14ac:dyDescent="0.25">
      <c r="M987" s="21"/>
      <c r="N987" s="13"/>
      <c r="O987" s="13"/>
      <c r="P987" s="13"/>
      <c r="Q987" s="14"/>
    </row>
    <row r="988" spans="13:17" ht="15.75" customHeight="1" x14ac:dyDescent="0.25">
      <c r="M988" s="21"/>
      <c r="N988" s="13"/>
      <c r="O988" s="13"/>
      <c r="P988" s="13"/>
      <c r="Q988" s="14"/>
    </row>
    <row r="989" spans="13:17" ht="15.75" customHeight="1" x14ac:dyDescent="0.25">
      <c r="M989" s="21"/>
      <c r="N989" s="13"/>
      <c r="O989" s="13"/>
      <c r="P989" s="13"/>
      <c r="Q989" s="14"/>
    </row>
    <row r="990" spans="13:17" ht="15.75" customHeight="1" x14ac:dyDescent="0.25">
      <c r="M990" s="21"/>
      <c r="N990" s="13"/>
      <c r="O990" s="13"/>
      <c r="P990" s="13"/>
      <c r="Q990" s="14"/>
    </row>
    <row r="991" spans="13:17" ht="15.75" customHeight="1" x14ac:dyDescent="0.25">
      <c r="M991" s="21"/>
      <c r="N991" s="13"/>
      <c r="O991" s="13"/>
      <c r="P991" s="13"/>
      <c r="Q991" s="14"/>
    </row>
    <row r="992" spans="13:17" ht="15.75" customHeight="1" x14ac:dyDescent="0.25">
      <c r="M992" s="21"/>
      <c r="N992" s="13"/>
      <c r="O992" s="13"/>
      <c r="P992" s="13"/>
      <c r="Q992" s="14"/>
    </row>
    <row r="993" spans="13:17" ht="15.75" customHeight="1" x14ac:dyDescent="0.25">
      <c r="M993" s="21"/>
      <c r="N993" s="13"/>
      <c r="O993" s="13"/>
      <c r="P993" s="13"/>
      <c r="Q993" s="14"/>
    </row>
    <row r="994" spans="13:17" ht="15.75" customHeight="1" x14ac:dyDescent="0.25">
      <c r="M994" s="21"/>
      <c r="N994" s="13"/>
      <c r="O994" s="13"/>
      <c r="P994" s="13"/>
      <c r="Q994" s="14"/>
    </row>
    <row r="995" spans="13:17" ht="15.75" customHeight="1" x14ac:dyDescent="0.25">
      <c r="M995" s="21"/>
      <c r="N995" s="13"/>
      <c r="O995" s="13"/>
      <c r="P995" s="13"/>
      <c r="Q995" s="14"/>
    </row>
    <row r="996" spans="13:17" ht="15.75" customHeight="1" x14ac:dyDescent="0.25">
      <c r="M996" s="21"/>
      <c r="N996" s="13"/>
      <c r="O996" s="13"/>
      <c r="P996" s="13"/>
      <c r="Q996" s="14"/>
    </row>
    <row r="997" spans="13:17" ht="15.75" customHeight="1" x14ac:dyDescent="0.25">
      <c r="M997" s="21"/>
      <c r="N997" s="13"/>
      <c r="O997" s="13"/>
      <c r="P997" s="13"/>
      <c r="Q997" s="14"/>
    </row>
    <row r="998" spans="13:17" ht="15.75" customHeight="1" x14ac:dyDescent="0.25">
      <c r="M998" s="21"/>
      <c r="N998" s="13"/>
      <c r="O998" s="13"/>
      <c r="P998" s="13"/>
      <c r="Q998" s="14"/>
    </row>
    <row r="999" spans="13:17" ht="15.75" customHeight="1" x14ac:dyDescent="0.25">
      <c r="M999" s="21"/>
      <c r="N999" s="13"/>
      <c r="O999" s="13"/>
      <c r="P999" s="13"/>
      <c r="Q999" s="14"/>
    </row>
    <row r="1000" spans="13:17" ht="15.75" customHeight="1" x14ac:dyDescent="0.25">
      <c r="M1000" s="21"/>
      <c r="N1000" s="13"/>
      <c r="O1000" s="13"/>
      <c r="P1000" s="13"/>
      <c r="Q1000" s="14"/>
    </row>
  </sheetData>
  <autoFilter ref="B1:J252" xr:uid="{00000000-0009-0000-0000-000000000000}"/>
  <pageMargins left="0.7" right="0.7" top="0.75" bottom="0.75" header="0" footer="0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1000"/>
  <sheetViews>
    <sheetView workbookViewId="0"/>
  </sheetViews>
  <sheetFormatPr baseColWidth="10" defaultColWidth="12.625" defaultRowHeight="15" customHeight="1" x14ac:dyDescent="0.2"/>
  <cols>
    <col min="1" max="1" width="31.75" customWidth="1"/>
    <col min="2" max="2" width="14.25" customWidth="1"/>
    <col min="3" max="26" width="10" customWidth="1"/>
  </cols>
  <sheetData>
    <row r="1" spans="1:1" x14ac:dyDescent="0.25">
      <c r="A1" s="34" t="s">
        <v>332</v>
      </c>
    </row>
    <row r="2" spans="1:1" x14ac:dyDescent="0.2">
      <c r="A2" s="35" t="s">
        <v>333</v>
      </c>
    </row>
    <row r="3" spans="1:1" x14ac:dyDescent="0.2">
      <c r="A3" s="36" t="s">
        <v>334</v>
      </c>
    </row>
    <row r="4" spans="1:1" x14ac:dyDescent="0.2">
      <c r="A4" s="35" t="s">
        <v>335</v>
      </c>
    </row>
    <row r="5" spans="1:1" x14ac:dyDescent="0.2">
      <c r="A5" s="36" t="s">
        <v>336</v>
      </c>
    </row>
    <row r="6" spans="1:1" x14ac:dyDescent="0.2">
      <c r="A6" s="35" t="s">
        <v>337</v>
      </c>
    </row>
    <row r="7" spans="1:1" x14ac:dyDescent="0.2">
      <c r="A7" s="35" t="s">
        <v>338</v>
      </c>
    </row>
    <row r="8" spans="1:1" x14ac:dyDescent="0.2">
      <c r="A8" s="35" t="s">
        <v>339</v>
      </c>
    </row>
    <row r="9" spans="1:1" x14ac:dyDescent="0.2">
      <c r="A9" s="35" t="s">
        <v>340</v>
      </c>
    </row>
    <row r="10" spans="1:1" x14ac:dyDescent="0.2">
      <c r="A10" s="35" t="s">
        <v>341</v>
      </c>
    </row>
    <row r="11" spans="1:1" x14ac:dyDescent="0.2">
      <c r="A11" s="35" t="s">
        <v>342</v>
      </c>
    </row>
    <row r="12" spans="1:1" x14ac:dyDescent="0.2">
      <c r="A12" s="35" t="s">
        <v>343</v>
      </c>
    </row>
    <row r="13" spans="1:1" x14ac:dyDescent="0.2">
      <c r="A13" s="35" t="s">
        <v>344</v>
      </c>
    </row>
    <row r="14" spans="1:1" x14ac:dyDescent="0.2">
      <c r="A14" s="35" t="s">
        <v>345</v>
      </c>
    </row>
    <row r="15" spans="1:1" x14ac:dyDescent="0.2">
      <c r="A15" s="36" t="s">
        <v>346</v>
      </c>
    </row>
    <row r="16" spans="1:1" x14ac:dyDescent="0.2">
      <c r="A16" s="35" t="s">
        <v>347</v>
      </c>
    </row>
    <row r="17" spans="1:1" x14ac:dyDescent="0.2">
      <c r="A17" s="36" t="s">
        <v>348</v>
      </c>
    </row>
    <row r="18" spans="1:1" x14ac:dyDescent="0.2">
      <c r="A18" s="35" t="s">
        <v>349</v>
      </c>
    </row>
    <row r="19" spans="1:1" x14ac:dyDescent="0.2">
      <c r="A19" s="35" t="s">
        <v>350</v>
      </c>
    </row>
    <row r="20" spans="1:1" x14ac:dyDescent="0.2">
      <c r="A20" s="36" t="s">
        <v>351</v>
      </c>
    </row>
    <row r="21" spans="1:1" ht="15.75" customHeight="1" x14ac:dyDescent="0.2">
      <c r="A21" s="35" t="s">
        <v>352</v>
      </c>
    </row>
    <row r="22" spans="1:1" ht="15.75" customHeight="1" x14ac:dyDescent="0.2">
      <c r="A22" s="35" t="s">
        <v>353</v>
      </c>
    </row>
    <row r="23" spans="1:1" ht="15.75" customHeight="1" x14ac:dyDescent="0.2">
      <c r="A23" s="35" t="s">
        <v>354</v>
      </c>
    </row>
    <row r="24" spans="1:1" ht="15.75" customHeight="1" x14ac:dyDescent="0.2">
      <c r="A24" s="36" t="s">
        <v>355</v>
      </c>
    </row>
    <row r="25" spans="1:1" ht="15.75" customHeight="1" x14ac:dyDescent="0.2">
      <c r="A25" s="35" t="s">
        <v>356</v>
      </c>
    </row>
    <row r="26" spans="1:1" ht="15.75" customHeight="1" x14ac:dyDescent="0.2">
      <c r="A26" s="36" t="s">
        <v>357</v>
      </c>
    </row>
    <row r="27" spans="1:1" ht="15.75" customHeight="1" x14ac:dyDescent="0.2">
      <c r="A27" s="36" t="s">
        <v>358</v>
      </c>
    </row>
    <row r="28" spans="1:1" ht="15.75" customHeight="1" x14ac:dyDescent="0.2">
      <c r="A28" s="35" t="s">
        <v>359</v>
      </c>
    </row>
    <row r="29" spans="1:1" ht="15.75" customHeight="1" x14ac:dyDescent="0.2">
      <c r="A29" s="36" t="s">
        <v>360</v>
      </c>
    </row>
    <row r="30" spans="1:1" ht="15.75" customHeight="1" x14ac:dyDescent="0.2">
      <c r="A30" s="35" t="s">
        <v>361</v>
      </c>
    </row>
    <row r="31" spans="1:1" ht="15.75" customHeight="1" x14ac:dyDescent="0.2">
      <c r="A31" s="36" t="s">
        <v>362</v>
      </c>
    </row>
    <row r="32" spans="1:1" ht="15.75" customHeight="1" x14ac:dyDescent="0.2">
      <c r="A32" s="35" t="s">
        <v>363</v>
      </c>
    </row>
    <row r="33" spans="1:1" ht="15.75" customHeight="1" x14ac:dyDescent="0.2">
      <c r="A33" s="35" t="s">
        <v>364</v>
      </c>
    </row>
    <row r="34" spans="1:1" ht="15.75" customHeight="1" x14ac:dyDescent="0.2">
      <c r="A34" s="35" t="s">
        <v>365</v>
      </c>
    </row>
    <row r="35" spans="1:1" ht="15.75" customHeight="1" x14ac:dyDescent="0.2">
      <c r="A35" s="36" t="s">
        <v>366</v>
      </c>
    </row>
    <row r="36" spans="1:1" ht="15.75" customHeight="1" x14ac:dyDescent="0.2">
      <c r="A36" s="35" t="s">
        <v>367</v>
      </c>
    </row>
    <row r="37" spans="1:1" ht="15.75" customHeight="1" x14ac:dyDescent="0.2">
      <c r="A37" s="35" t="s">
        <v>368</v>
      </c>
    </row>
    <row r="38" spans="1:1" ht="15.75" customHeight="1" x14ac:dyDescent="0.2">
      <c r="A38" s="35" t="s">
        <v>369</v>
      </c>
    </row>
    <row r="39" spans="1:1" ht="15.75" customHeight="1" x14ac:dyDescent="0.2"/>
    <row r="40" spans="1:1" ht="15.75" customHeight="1" x14ac:dyDescent="0.2"/>
    <row r="41" spans="1:1" ht="15.75" customHeight="1" x14ac:dyDescent="0.2"/>
    <row r="42" spans="1:1" ht="15.75" customHeight="1" x14ac:dyDescent="0.2"/>
    <row r="43" spans="1:1" ht="15.75" customHeight="1" x14ac:dyDescent="0.2"/>
    <row r="44" spans="1:1" ht="15.75" customHeight="1" x14ac:dyDescent="0.2"/>
    <row r="45" spans="1:1" ht="15.75" customHeight="1" x14ac:dyDescent="0.2"/>
    <row r="46" spans="1:1" ht="15.75" customHeight="1" x14ac:dyDescent="0.2"/>
    <row r="47" spans="1:1" ht="15.75" customHeight="1" x14ac:dyDescent="0.2"/>
    <row r="48" spans="1:1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4967E-7597-4EA3-8ADB-F8B1D9F17888}">
  <sheetPr codeName="Hoja3">
    <pageSetUpPr fitToPage="1"/>
  </sheetPr>
  <dimension ref="A1:U685"/>
  <sheetViews>
    <sheetView tabSelected="1" view="pageBreakPreview" topLeftCell="J1" zoomScale="98" zoomScaleNormal="98" zoomScaleSheetLayoutView="98" workbookViewId="0">
      <pane ySplit="1" topLeftCell="A176" activePane="bottomLeft" state="frozen"/>
      <selection pane="bottomLeft" activeCell="A162" sqref="A162:Q162"/>
    </sheetView>
  </sheetViews>
  <sheetFormatPr baseColWidth="10" defaultColWidth="12.625" defaultRowHeight="15" customHeight="1" x14ac:dyDescent="0.2"/>
  <cols>
    <col min="1" max="1" width="29.625" customWidth="1"/>
    <col min="2" max="2" width="7.5" customWidth="1"/>
    <col min="3" max="3" width="11.25" style="46" customWidth="1"/>
    <col min="4" max="4" width="14.125" hidden="1" customWidth="1"/>
    <col min="5" max="5" width="18.125" hidden="1" customWidth="1"/>
    <col min="6" max="6" width="12.375" hidden="1" customWidth="1"/>
    <col min="7" max="7" width="13.5" style="290" customWidth="1"/>
    <col min="8" max="8" width="13.5" customWidth="1"/>
    <col min="9" max="9" width="9" style="243" customWidth="1"/>
    <col min="10" max="10" width="9.75" style="243" customWidth="1"/>
    <col min="11" max="11" width="9.25" style="243" customWidth="1"/>
    <col min="12" max="13" width="9.625" style="243" customWidth="1"/>
    <col min="14" max="14" width="11.75" style="293" customWidth="1"/>
    <col min="15" max="15" width="13.375" style="324" customWidth="1"/>
    <col min="16" max="16" width="21.375" customWidth="1"/>
    <col min="17" max="17" width="10.25" style="46" customWidth="1"/>
    <col min="18" max="18" width="14.375" style="127" customWidth="1"/>
    <col min="19" max="19" width="12.625" style="334"/>
  </cols>
  <sheetData>
    <row r="1" spans="1:19" ht="87" customHeight="1" thickBot="1" x14ac:dyDescent="0.25">
      <c r="A1" s="147" t="s">
        <v>1</v>
      </c>
      <c r="B1" s="148" t="s">
        <v>913</v>
      </c>
      <c r="C1" s="149" t="s">
        <v>1731</v>
      </c>
      <c r="D1" s="149" t="s">
        <v>1361</v>
      </c>
      <c r="E1" s="150" t="s">
        <v>403</v>
      </c>
      <c r="F1" s="151" t="s">
        <v>15</v>
      </c>
      <c r="G1" s="289" t="s">
        <v>16</v>
      </c>
      <c r="H1" s="150" t="s">
        <v>1367</v>
      </c>
      <c r="I1" s="291" t="s">
        <v>19</v>
      </c>
      <c r="J1" s="291" t="s">
        <v>2</v>
      </c>
      <c r="K1" s="291" t="s">
        <v>20</v>
      </c>
      <c r="L1" s="291" t="s">
        <v>21</v>
      </c>
      <c r="M1" s="291" t="s">
        <v>401</v>
      </c>
      <c r="N1" s="292" t="s">
        <v>22</v>
      </c>
      <c r="O1" s="318" t="s">
        <v>23</v>
      </c>
      <c r="P1" s="5" t="s">
        <v>0</v>
      </c>
      <c r="Q1" s="6" t="s">
        <v>1812</v>
      </c>
      <c r="R1" s="153"/>
    </row>
    <row r="2" spans="1:19" s="43" customFormat="1" ht="15.75" customHeight="1" x14ac:dyDescent="0.2">
      <c r="A2" s="246" t="s">
        <v>697</v>
      </c>
      <c r="B2" s="229" t="s">
        <v>405</v>
      </c>
      <c r="C2" s="95" t="s">
        <v>1680</v>
      </c>
      <c r="D2" s="288" t="s">
        <v>26</v>
      </c>
      <c r="E2" s="95" t="s">
        <v>436</v>
      </c>
      <c r="F2" s="95" t="s">
        <v>461</v>
      </c>
      <c r="G2" s="101"/>
      <c r="H2" s="95" t="s">
        <v>25</v>
      </c>
      <c r="I2" s="288"/>
      <c r="J2" s="288">
        <v>40</v>
      </c>
      <c r="K2" s="288">
        <v>20</v>
      </c>
      <c r="L2" s="288">
        <v>40</v>
      </c>
      <c r="M2" s="288">
        <v>100</v>
      </c>
      <c r="N2" s="145">
        <f>SUM(I2:M2)</f>
        <v>200</v>
      </c>
      <c r="O2" s="319">
        <v>265.5</v>
      </c>
      <c r="P2" s="95" t="s">
        <v>520</v>
      </c>
      <c r="Q2" s="101">
        <v>46029</v>
      </c>
    </row>
    <row r="3" spans="1:19" s="43" customFormat="1" ht="26.25" customHeight="1" x14ac:dyDescent="0.2">
      <c r="A3" s="246" t="s">
        <v>1728</v>
      </c>
      <c r="B3" s="229" t="s">
        <v>408</v>
      </c>
      <c r="C3" s="95" t="s">
        <v>1727</v>
      </c>
      <c r="D3" s="288" t="s">
        <v>26</v>
      </c>
      <c r="E3" s="95" t="s">
        <v>491</v>
      </c>
      <c r="F3" s="288" t="s">
        <v>406</v>
      </c>
      <c r="G3" s="101">
        <v>46024</v>
      </c>
      <c r="H3" s="95" t="s">
        <v>25</v>
      </c>
      <c r="I3" s="288"/>
      <c r="J3" s="288">
        <v>85</v>
      </c>
      <c r="K3" s="288"/>
      <c r="L3" s="288">
        <v>65</v>
      </c>
      <c r="M3" s="288"/>
      <c r="N3" s="145">
        <f t="shared" ref="N3:N17" si="0">SUM(I3:M3)</f>
        <v>150</v>
      </c>
      <c r="O3" s="319">
        <v>150</v>
      </c>
      <c r="P3" s="95" t="s">
        <v>429</v>
      </c>
      <c r="Q3" s="101">
        <v>46029</v>
      </c>
    </row>
    <row r="4" spans="1:19" s="43" customFormat="1" ht="15.75" customHeight="1" x14ac:dyDescent="0.2">
      <c r="A4" s="245" t="s">
        <v>1399</v>
      </c>
      <c r="B4" s="229" t="s">
        <v>409</v>
      </c>
      <c r="C4" s="95" t="s">
        <v>1726</v>
      </c>
      <c r="D4" s="288" t="s">
        <v>39</v>
      </c>
      <c r="E4" s="95" t="s">
        <v>1664</v>
      </c>
      <c r="F4" s="95" t="s">
        <v>406</v>
      </c>
      <c r="G4" s="101">
        <v>46024</v>
      </c>
      <c r="H4" s="95" t="s">
        <v>25</v>
      </c>
      <c r="I4" s="288"/>
      <c r="J4" s="288">
        <v>40</v>
      </c>
      <c r="K4" s="288"/>
      <c r="L4" s="288">
        <v>20</v>
      </c>
      <c r="M4" s="288">
        <v>90</v>
      </c>
      <c r="N4" s="145">
        <f t="shared" si="0"/>
        <v>150</v>
      </c>
      <c r="O4" s="319">
        <v>150</v>
      </c>
      <c r="P4" s="95" t="s">
        <v>520</v>
      </c>
      <c r="Q4" s="101">
        <v>46029</v>
      </c>
    </row>
    <row r="5" spans="1:19" s="43" customFormat="1" ht="27.75" customHeight="1" x14ac:dyDescent="0.2">
      <c r="A5" s="246" t="s">
        <v>1729</v>
      </c>
      <c r="B5" s="229" t="s">
        <v>410</v>
      </c>
      <c r="C5" s="95" t="s">
        <v>1730</v>
      </c>
      <c r="D5" s="288" t="s">
        <v>26</v>
      </c>
      <c r="E5" s="95" t="s">
        <v>661</v>
      </c>
      <c r="F5" s="95" t="s">
        <v>406</v>
      </c>
      <c r="G5" s="101"/>
      <c r="H5" s="95" t="s">
        <v>25</v>
      </c>
      <c r="I5" s="288">
        <v>130</v>
      </c>
      <c r="J5" s="288"/>
      <c r="K5" s="288"/>
      <c r="L5" s="288"/>
      <c r="M5" s="288"/>
      <c r="N5" s="145">
        <f t="shared" si="0"/>
        <v>130</v>
      </c>
      <c r="O5" s="319">
        <v>110</v>
      </c>
      <c r="P5" s="95" t="s">
        <v>520</v>
      </c>
      <c r="Q5" s="101">
        <v>46029</v>
      </c>
    </row>
    <row r="6" spans="1:19" s="43" customFormat="1" ht="15.75" customHeight="1" x14ac:dyDescent="0.2">
      <c r="A6" s="245" t="s">
        <v>1696</v>
      </c>
      <c r="B6" s="229" t="s">
        <v>411</v>
      </c>
      <c r="C6" s="95" t="s">
        <v>1732</v>
      </c>
      <c r="D6" s="288" t="s">
        <v>26</v>
      </c>
      <c r="E6" s="95" t="s">
        <v>436</v>
      </c>
      <c r="F6" s="95" t="s">
        <v>406</v>
      </c>
      <c r="G6" s="101">
        <v>46024</v>
      </c>
      <c r="H6" s="95" t="s">
        <v>25</v>
      </c>
      <c r="I6" s="288"/>
      <c r="J6" s="288">
        <v>163.19999999999999</v>
      </c>
      <c r="K6" s="288"/>
      <c r="L6" s="288">
        <v>14</v>
      </c>
      <c r="M6" s="288"/>
      <c r="N6" s="145">
        <f t="shared" si="0"/>
        <v>177.2</v>
      </c>
      <c r="O6" s="319">
        <v>177.22</v>
      </c>
      <c r="P6" s="95" t="s">
        <v>1190</v>
      </c>
      <c r="Q6" s="101">
        <v>46029</v>
      </c>
    </row>
    <row r="7" spans="1:19" ht="19.149999999999999" customHeight="1" x14ac:dyDescent="0.2">
      <c r="A7" s="245" t="s">
        <v>1733</v>
      </c>
      <c r="B7" s="229" t="s">
        <v>431</v>
      </c>
      <c r="C7" s="95" t="s">
        <v>1734</v>
      </c>
      <c r="D7" s="288" t="s">
        <v>383</v>
      </c>
      <c r="E7" s="95" t="s">
        <v>445</v>
      </c>
      <c r="F7" s="95" t="s">
        <v>461</v>
      </c>
      <c r="G7" s="101" t="s">
        <v>1735</v>
      </c>
      <c r="H7" s="95" t="s">
        <v>25</v>
      </c>
      <c r="I7" s="288"/>
      <c r="J7" s="288">
        <v>400</v>
      </c>
      <c r="K7" s="288"/>
      <c r="L7" s="288">
        <v>600</v>
      </c>
      <c r="M7" s="288">
        <v>1000</v>
      </c>
      <c r="N7" s="145">
        <f t="shared" si="0"/>
        <v>2000</v>
      </c>
      <c r="O7" s="319">
        <v>2005</v>
      </c>
      <c r="P7" s="95" t="s">
        <v>417</v>
      </c>
      <c r="Q7" s="101">
        <v>46029</v>
      </c>
      <c r="R7" s="1" t="s">
        <v>1736</v>
      </c>
      <c r="S7"/>
    </row>
    <row r="8" spans="1:19" ht="15.75" customHeight="1" x14ac:dyDescent="0.2">
      <c r="A8" s="245" t="s">
        <v>1733</v>
      </c>
      <c r="B8" s="229" t="s">
        <v>434</v>
      </c>
      <c r="C8" s="95" t="s">
        <v>1734</v>
      </c>
      <c r="D8" s="288" t="s">
        <v>383</v>
      </c>
      <c r="E8" s="95" t="s">
        <v>445</v>
      </c>
      <c r="F8" s="95" t="s">
        <v>461</v>
      </c>
      <c r="G8" s="101" t="s">
        <v>1735</v>
      </c>
      <c r="H8" s="95" t="s">
        <v>25</v>
      </c>
      <c r="I8" s="288"/>
      <c r="J8" s="288">
        <v>800</v>
      </c>
      <c r="K8" s="288">
        <v>1000</v>
      </c>
      <c r="L8" s="288">
        <v>1300</v>
      </c>
      <c r="M8" s="288">
        <v>1900</v>
      </c>
      <c r="N8" s="145">
        <f t="shared" si="0"/>
        <v>5000</v>
      </c>
      <c r="O8" s="319">
        <v>4820.05</v>
      </c>
      <c r="P8" s="95" t="s">
        <v>417</v>
      </c>
      <c r="Q8" s="101">
        <v>46032</v>
      </c>
      <c r="R8" s="1"/>
      <c r="S8"/>
    </row>
    <row r="9" spans="1:19" s="43" customFormat="1" ht="15.75" customHeight="1" x14ac:dyDescent="0.2">
      <c r="A9" s="245" t="s">
        <v>1700</v>
      </c>
      <c r="B9" s="229" t="s">
        <v>440</v>
      </c>
      <c r="C9" s="95" t="s">
        <v>1738</v>
      </c>
      <c r="D9" s="288" t="s">
        <v>26</v>
      </c>
      <c r="E9" s="95" t="s">
        <v>436</v>
      </c>
      <c r="F9" s="95" t="s">
        <v>1739</v>
      </c>
      <c r="G9" s="101">
        <v>46030</v>
      </c>
      <c r="H9" s="95" t="s">
        <v>25</v>
      </c>
      <c r="I9" s="288"/>
      <c r="J9" s="288">
        <v>130</v>
      </c>
      <c r="K9" s="288"/>
      <c r="L9" s="288">
        <v>30</v>
      </c>
      <c r="M9" s="288"/>
      <c r="N9" s="145">
        <f t="shared" si="0"/>
        <v>160</v>
      </c>
      <c r="O9" s="319">
        <v>156.19999999999999</v>
      </c>
      <c r="P9" s="95" t="s">
        <v>520</v>
      </c>
      <c r="Q9" s="101">
        <v>46031</v>
      </c>
      <c r="R9" s="42"/>
    </row>
    <row r="10" spans="1:19" ht="23.25" customHeight="1" x14ac:dyDescent="0.2">
      <c r="A10" s="246" t="s">
        <v>1760</v>
      </c>
      <c r="B10" s="229" t="s">
        <v>442</v>
      </c>
      <c r="C10" s="95" t="s">
        <v>1740</v>
      </c>
      <c r="D10" s="288" t="s">
        <v>26</v>
      </c>
      <c r="E10" s="95"/>
      <c r="F10" s="95" t="s">
        <v>406</v>
      </c>
      <c r="G10" s="101">
        <v>46035</v>
      </c>
      <c r="H10" s="95" t="s">
        <v>25</v>
      </c>
      <c r="I10" s="288"/>
      <c r="J10" s="288">
        <v>50</v>
      </c>
      <c r="K10" s="288">
        <v>30</v>
      </c>
      <c r="L10" s="288">
        <v>120</v>
      </c>
      <c r="M10" s="288">
        <v>100</v>
      </c>
      <c r="N10" s="145">
        <f t="shared" si="0"/>
        <v>300</v>
      </c>
      <c r="O10" s="319">
        <v>195</v>
      </c>
      <c r="P10" s="95" t="s">
        <v>466</v>
      </c>
      <c r="Q10" s="101">
        <v>46036</v>
      </c>
      <c r="R10" s="1"/>
      <c r="S10"/>
    </row>
    <row r="11" spans="1:19" s="43" customFormat="1" ht="15.75" customHeight="1" x14ac:dyDescent="0.2">
      <c r="A11" s="245" t="s">
        <v>1631</v>
      </c>
      <c r="B11" s="229" t="s">
        <v>446</v>
      </c>
      <c r="C11" s="95" t="s">
        <v>1741</v>
      </c>
      <c r="D11" s="288" t="s">
        <v>26</v>
      </c>
      <c r="E11" s="95"/>
      <c r="F11" s="95" t="s">
        <v>406</v>
      </c>
      <c r="G11" s="101">
        <v>46035</v>
      </c>
      <c r="H11" s="95" t="s">
        <v>25</v>
      </c>
      <c r="I11" s="288"/>
      <c r="J11" s="288">
        <v>50</v>
      </c>
      <c r="K11" s="288">
        <v>30</v>
      </c>
      <c r="L11" s="288">
        <v>120</v>
      </c>
      <c r="M11" s="288">
        <v>100</v>
      </c>
      <c r="N11" s="145">
        <f t="shared" si="0"/>
        <v>300</v>
      </c>
      <c r="O11" s="319">
        <v>234</v>
      </c>
      <c r="P11" s="95" t="s">
        <v>466</v>
      </c>
      <c r="Q11" s="101">
        <v>46036</v>
      </c>
      <c r="R11" s="42"/>
    </row>
    <row r="12" spans="1:19" s="43" customFormat="1" ht="15.75" customHeight="1" x14ac:dyDescent="0.2">
      <c r="A12" s="246" t="s">
        <v>1743</v>
      </c>
      <c r="B12" s="229" t="s">
        <v>453</v>
      </c>
      <c r="C12" s="95" t="s">
        <v>1742</v>
      </c>
      <c r="D12" s="288" t="s">
        <v>26</v>
      </c>
      <c r="E12" s="95"/>
      <c r="F12" s="95" t="s">
        <v>406</v>
      </c>
      <c r="G12" s="101">
        <v>46035</v>
      </c>
      <c r="H12" s="95" t="s">
        <v>25</v>
      </c>
      <c r="I12" s="288"/>
      <c r="J12" s="288">
        <v>50</v>
      </c>
      <c r="K12" s="288">
        <v>30</v>
      </c>
      <c r="L12" s="288">
        <v>120</v>
      </c>
      <c r="M12" s="288">
        <v>100</v>
      </c>
      <c r="N12" s="145">
        <f t="shared" si="0"/>
        <v>300</v>
      </c>
      <c r="O12" s="319">
        <v>246</v>
      </c>
      <c r="P12" s="95" t="s">
        <v>466</v>
      </c>
      <c r="Q12" s="101">
        <v>46036</v>
      </c>
      <c r="R12" s="42"/>
    </row>
    <row r="13" spans="1:19" ht="15.75" customHeight="1" x14ac:dyDescent="0.2">
      <c r="A13" s="245" t="s">
        <v>1744</v>
      </c>
      <c r="B13" s="229" t="s">
        <v>457</v>
      </c>
      <c r="C13" s="95" t="s">
        <v>1745</v>
      </c>
      <c r="D13" s="288" t="s">
        <v>26</v>
      </c>
      <c r="E13" s="95" t="s">
        <v>436</v>
      </c>
      <c r="F13" s="95" t="s">
        <v>406</v>
      </c>
      <c r="G13" s="101">
        <v>46032</v>
      </c>
      <c r="H13" s="95" t="s">
        <v>25</v>
      </c>
      <c r="I13" s="288"/>
      <c r="J13" s="288">
        <v>120</v>
      </c>
      <c r="K13" s="288"/>
      <c r="L13" s="288">
        <v>30</v>
      </c>
      <c r="M13" s="288"/>
      <c r="N13" s="145">
        <f t="shared" si="0"/>
        <v>150</v>
      </c>
      <c r="O13" s="319">
        <v>142</v>
      </c>
      <c r="P13" s="95" t="s">
        <v>1190</v>
      </c>
      <c r="Q13" s="101">
        <v>46036</v>
      </c>
      <c r="R13" s="1"/>
      <c r="S13"/>
    </row>
    <row r="14" spans="1:19" s="43" customFormat="1" ht="15.75" customHeight="1" x14ac:dyDescent="0.2">
      <c r="A14" s="245" t="s">
        <v>1696</v>
      </c>
      <c r="B14" s="229" t="s">
        <v>463</v>
      </c>
      <c r="C14" s="95" t="s">
        <v>1746</v>
      </c>
      <c r="D14" s="288" t="s">
        <v>26</v>
      </c>
      <c r="E14" s="95" t="s">
        <v>436</v>
      </c>
      <c r="F14" s="95" t="s">
        <v>406</v>
      </c>
      <c r="G14" s="101">
        <v>46030</v>
      </c>
      <c r="H14" s="95" t="s">
        <v>25</v>
      </c>
      <c r="I14" s="288"/>
      <c r="J14" s="288">
        <v>145</v>
      </c>
      <c r="K14" s="288"/>
      <c r="L14" s="288">
        <v>15</v>
      </c>
      <c r="M14" s="288"/>
      <c r="N14" s="145">
        <f t="shared" si="0"/>
        <v>160</v>
      </c>
      <c r="O14" s="319">
        <v>160</v>
      </c>
      <c r="P14" s="95" t="s">
        <v>489</v>
      </c>
      <c r="Q14" s="101">
        <v>46036</v>
      </c>
      <c r="R14" s="42"/>
    </row>
    <row r="15" spans="1:19" s="43" customFormat="1" ht="28.15" customHeight="1" x14ac:dyDescent="0.2">
      <c r="A15" s="245" t="s">
        <v>697</v>
      </c>
      <c r="B15" s="229" t="s">
        <v>468</v>
      </c>
      <c r="C15" s="95" t="s">
        <v>1680</v>
      </c>
      <c r="D15" s="288" t="s">
        <v>26</v>
      </c>
      <c r="E15" s="95" t="s">
        <v>436</v>
      </c>
      <c r="F15" s="95" t="s">
        <v>461</v>
      </c>
      <c r="G15" s="101">
        <v>46032</v>
      </c>
      <c r="H15" s="95" t="s">
        <v>25</v>
      </c>
      <c r="I15" s="288"/>
      <c r="J15" s="288">
        <v>40</v>
      </c>
      <c r="K15" s="288"/>
      <c r="L15" s="288">
        <v>20</v>
      </c>
      <c r="M15" s="288">
        <v>90</v>
      </c>
      <c r="N15" s="145">
        <f t="shared" si="0"/>
        <v>150</v>
      </c>
      <c r="O15" s="319">
        <v>150</v>
      </c>
      <c r="P15" s="95" t="s">
        <v>520</v>
      </c>
      <c r="Q15" s="101">
        <v>46036</v>
      </c>
      <c r="R15" s="42"/>
    </row>
    <row r="16" spans="1:19" s="43" customFormat="1" ht="15.75" customHeight="1" x14ac:dyDescent="0.2">
      <c r="A16" s="245" t="s">
        <v>1669</v>
      </c>
      <c r="B16" s="229" t="s">
        <v>471</v>
      </c>
      <c r="C16" s="95" t="s">
        <v>1747</v>
      </c>
      <c r="D16" s="95" t="s">
        <v>26</v>
      </c>
      <c r="E16" s="95" t="s">
        <v>436</v>
      </c>
      <c r="F16" s="95" t="s">
        <v>406</v>
      </c>
      <c r="G16" s="101">
        <v>46034</v>
      </c>
      <c r="H16" s="95" t="s">
        <v>25</v>
      </c>
      <c r="I16" s="288"/>
      <c r="J16" s="288">
        <v>12</v>
      </c>
      <c r="K16" s="288"/>
      <c r="L16" s="288">
        <f>13+15</f>
        <v>28</v>
      </c>
      <c r="M16" s="288">
        <v>90</v>
      </c>
      <c r="N16" s="145">
        <f t="shared" si="0"/>
        <v>130</v>
      </c>
      <c r="O16" s="319">
        <v>130</v>
      </c>
      <c r="P16" s="95" t="s">
        <v>520</v>
      </c>
      <c r="Q16" s="101">
        <v>46036</v>
      </c>
      <c r="R16" s="42"/>
    </row>
    <row r="17" spans="1:19" s="43" customFormat="1" ht="30.6" customHeight="1" x14ac:dyDescent="0.2">
      <c r="A17" s="245" t="s">
        <v>1749</v>
      </c>
      <c r="B17" s="229" t="s">
        <v>474</v>
      </c>
      <c r="C17" s="95" t="s">
        <v>1748</v>
      </c>
      <c r="D17" s="95" t="s">
        <v>26</v>
      </c>
      <c r="E17" s="95" t="s">
        <v>661</v>
      </c>
      <c r="F17" s="95" t="s">
        <v>406</v>
      </c>
      <c r="G17" s="101">
        <v>46035</v>
      </c>
      <c r="H17" s="95" t="s">
        <v>25</v>
      </c>
      <c r="I17" s="288">
        <v>120</v>
      </c>
      <c r="J17" s="288"/>
      <c r="K17" s="288"/>
      <c r="L17" s="288"/>
      <c r="M17" s="288"/>
      <c r="N17" s="145">
        <f t="shared" si="0"/>
        <v>120</v>
      </c>
      <c r="O17" s="319">
        <v>110</v>
      </c>
      <c r="P17" s="95" t="s">
        <v>520</v>
      </c>
      <c r="Q17" s="101">
        <v>46036</v>
      </c>
      <c r="R17" s="42"/>
    </row>
    <row r="18" spans="1:19" s="43" customFormat="1" ht="15.75" customHeight="1" x14ac:dyDescent="0.2">
      <c r="A18" s="245" t="s">
        <v>1296</v>
      </c>
      <c r="B18" s="229" t="s">
        <v>480</v>
      </c>
      <c r="C18" s="99" t="s">
        <v>1750</v>
      </c>
      <c r="D18" s="95" t="s">
        <v>26</v>
      </c>
      <c r="E18" s="95" t="s">
        <v>710</v>
      </c>
      <c r="F18" s="95" t="s">
        <v>406</v>
      </c>
      <c r="G18" s="101">
        <v>46035</v>
      </c>
      <c r="H18" s="95" t="s">
        <v>25</v>
      </c>
      <c r="I18" s="288"/>
      <c r="J18" s="288">
        <f>160+6.6+6.6+14</f>
        <v>187.2</v>
      </c>
      <c r="K18" s="288"/>
      <c r="L18" s="288">
        <f>14+14</f>
        <v>28</v>
      </c>
      <c r="M18" s="288">
        <v>90</v>
      </c>
      <c r="N18" s="145">
        <f t="shared" ref="N18:N27" si="1">SUM(I18:M18)</f>
        <v>305.2</v>
      </c>
      <c r="O18" s="319">
        <v>305.2</v>
      </c>
      <c r="P18" s="95" t="s">
        <v>520</v>
      </c>
      <c r="Q18" s="101">
        <v>46038</v>
      </c>
      <c r="R18" s="42" t="s">
        <v>1764</v>
      </c>
    </row>
    <row r="19" spans="1:19" s="43" customFormat="1" ht="36.75" customHeight="1" x14ac:dyDescent="0.2">
      <c r="A19" s="245" t="s">
        <v>1755</v>
      </c>
      <c r="B19" s="229" t="s">
        <v>481</v>
      </c>
      <c r="C19" s="95" t="s">
        <v>1754</v>
      </c>
      <c r="D19" s="95" t="s">
        <v>26</v>
      </c>
      <c r="E19" s="95" t="s">
        <v>1756</v>
      </c>
      <c r="F19" s="95" t="s">
        <v>406</v>
      </c>
      <c r="G19" s="101">
        <v>46037</v>
      </c>
      <c r="H19" s="95" t="s">
        <v>25</v>
      </c>
      <c r="I19" s="288"/>
      <c r="J19" s="288">
        <v>50</v>
      </c>
      <c r="K19" s="288"/>
      <c r="L19" s="288">
        <v>50</v>
      </c>
      <c r="M19" s="288">
        <v>100</v>
      </c>
      <c r="N19" s="145">
        <f t="shared" si="1"/>
        <v>200</v>
      </c>
      <c r="O19" s="319">
        <v>200</v>
      </c>
      <c r="P19" s="95" t="s">
        <v>520</v>
      </c>
      <c r="Q19" s="101">
        <v>46038</v>
      </c>
      <c r="R19" s="42" t="s">
        <v>1765</v>
      </c>
    </row>
    <row r="20" spans="1:19" ht="15.75" customHeight="1" x14ac:dyDescent="0.2">
      <c r="A20" s="245" t="s">
        <v>1769</v>
      </c>
      <c r="B20" s="229" t="s">
        <v>482</v>
      </c>
      <c r="C20" s="99" t="s">
        <v>1751</v>
      </c>
      <c r="D20" s="95" t="s">
        <v>26</v>
      </c>
      <c r="E20" s="95" t="s">
        <v>710</v>
      </c>
      <c r="F20" s="95" t="s">
        <v>461</v>
      </c>
      <c r="G20" s="101">
        <v>46036</v>
      </c>
      <c r="H20" s="95" t="s">
        <v>25</v>
      </c>
      <c r="I20" s="288"/>
      <c r="J20" s="288">
        <v>20</v>
      </c>
      <c r="K20" s="288"/>
      <c r="L20" s="288">
        <v>30</v>
      </c>
      <c r="M20" s="288">
        <v>200</v>
      </c>
      <c r="N20" s="145">
        <f t="shared" si="1"/>
        <v>250</v>
      </c>
      <c r="O20" s="319">
        <v>250</v>
      </c>
      <c r="P20" s="95" t="s">
        <v>520</v>
      </c>
      <c r="Q20" s="101">
        <v>46038</v>
      </c>
      <c r="R20" s="1" t="s">
        <v>1766</v>
      </c>
      <c r="S20"/>
    </row>
    <row r="21" spans="1:19" ht="30.6" customHeight="1" x14ac:dyDescent="0.2">
      <c r="A21" s="245" t="s">
        <v>1752</v>
      </c>
      <c r="B21" s="229" t="s">
        <v>483</v>
      </c>
      <c r="C21" s="95" t="s">
        <v>1753</v>
      </c>
      <c r="D21" s="95" t="s">
        <v>33</v>
      </c>
      <c r="E21" s="95" t="s">
        <v>744</v>
      </c>
      <c r="F21" s="95" t="s">
        <v>406</v>
      </c>
      <c r="G21" s="101">
        <v>46036</v>
      </c>
      <c r="H21" s="95" t="s">
        <v>25</v>
      </c>
      <c r="I21" s="288">
        <v>50</v>
      </c>
      <c r="J21" s="288">
        <v>30</v>
      </c>
      <c r="K21" s="288"/>
      <c r="L21" s="288">
        <v>15</v>
      </c>
      <c r="M21" s="288">
        <v>90</v>
      </c>
      <c r="N21" s="145">
        <f t="shared" si="1"/>
        <v>185</v>
      </c>
      <c r="O21" s="319">
        <v>185</v>
      </c>
      <c r="P21" s="95" t="s">
        <v>520</v>
      </c>
      <c r="Q21" s="101">
        <v>46038</v>
      </c>
      <c r="R21" s="1" t="s">
        <v>1767</v>
      </c>
      <c r="S21"/>
    </row>
    <row r="22" spans="1:19" ht="30.75" customHeight="1" x14ac:dyDescent="0.2">
      <c r="A22" s="245" t="s">
        <v>1758</v>
      </c>
      <c r="B22" s="229" t="s">
        <v>484</v>
      </c>
      <c r="C22" s="95" t="s">
        <v>1757</v>
      </c>
      <c r="D22" s="95" t="s">
        <v>26</v>
      </c>
      <c r="E22" s="95" t="s">
        <v>710</v>
      </c>
      <c r="F22" s="95" t="s">
        <v>406</v>
      </c>
      <c r="G22" s="101">
        <v>46034</v>
      </c>
      <c r="H22" s="95" t="s">
        <v>25</v>
      </c>
      <c r="I22" s="288">
        <v>18.5</v>
      </c>
      <c r="J22" s="288">
        <f>115</f>
        <v>115</v>
      </c>
      <c r="K22" s="288"/>
      <c r="L22" s="288">
        <f>14</f>
        <v>14</v>
      </c>
      <c r="M22" s="288"/>
      <c r="N22" s="145">
        <f t="shared" si="1"/>
        <v>147.5</v>
      </c>
      <c r="O22" s="319">
        <v>147.5</v>
      </c>
      <c r="P22" s="95" t="s">
        <v>520</v>
      </c>
      <c r="Q22" s="101">
        <v>46038</v>
      </c>
      <c r="R22" s="1" t="s">
        <v>1768</v>
      </c>
      <c r="S22"/>
    </row>
    <row r="23" spans="1:19" ht="29.25" customHeight="1" x14ac:dyDescent="0.2">
      <c r="A23" s="245" t="s">
        <v>1733</v>
      </c>
      <c r="B23" s="229" t="s">
        <v>485</v>
      </c>
      <c r="C23" s="95" t="s">
        <v>1734</v>
      </c>
      <c r="D23" s="288" t="s">
        <v>383</v>
      </c>
      <c r="E23" s="95" t="s">
        <v>445</v>
      </c>
      <c r="F23" s="95" t="s">
        <v>406</v>
      </c>
      <c r="G23" s="101"/>
      <c r="H23" s="95" t="s">
        <v>25</v>
      </c>
      <c r="I23" s="288">
        <v>250</v>
      </c>
      <c r="J23" s="288">
        <v>250</v>
      </c>
      <c r="K23" s="288"/>
      <c r="L23" s="288">
        <v>550</v>
      </c>
      <c r="M23" s="288">
        <v>450</v>
      </c>
      <c r="N23" s="145">
        <f t="shared" si="1"/>
        <v>1500</v>
      </c>
      <c r="O23" s="319">
        <v>1507</v>
      </c>
      <c r="P23" s="95" t="s">
        <v>417</v>
      </c>
      <c r="Q23" s="101">
        <v>46038</v>
      </c>
      <c r="R23" s="1"/>
      <c r="S23"/>
    </row>
    <row r="24" spans="1:19" ht="15.75" customHeight="1" x14ac:dyDescent="0.2">
      <c r="A24" s="245" t="s">
        <v>1755</v>
      </c>
      <c r="B24" s="229" t="s">
        <v>486</v>
      </c>
      <c r="C24" s="95" t="s">
        <v>1759</v>
      </c>
      <c r="D24" s="95" t="s">
        <v>26</v>
      </c>
      <c r="E24" s="95" t="s">
        <v>449</v>
      </c>
      <c r="F24" s="95" t="s">
        <v>406</v>
      </c>
      <c r="G24" s="101">
        <v>46037</v>
      </c>
      <c r="H24" s="95" t="s">
        <v>25</v>
      </c>
      <c r="I24" s="288">
        <v>120</v>
      </c>
      <c r="J24" s="288">
        <v>80</v>
      </c>
      <c r="K24" s="288"/>
      <c r="L24" s="288"/>
      <c r="M24" s="288">
        <v>120</v>
      </c>
      <c r="N24" s="145">
        <f t="shared" si="1"/>
        <v>320</v>
      </c>
      <c r="O24" s="319">
        <v>320</v>
      </c>
      <c r="P24" s="95" t="s">
        <v>520</v>
      </c>
      <c r="Q24" s="101">
        <v>46043</v>
      </c>
      <c r="R24" s="1" t="s">
        <v>1765</v>
      </c>
      <c r="S24"/>
    </row>
    <row r="25" spans="1:19" ht="21.75" customHeight="1" x14ac:dyDescent="0.2">
      <c r="A25" s="246" t="s">
        <v>1216</v>
      </c>
      <c r="B25" s="229" t="s">
        <v>487</v>
      </c>
      <c r="C25" s="95" t="s">
        <v>1763</v>
      </c>
      <c r="D25" s="95" t="s">
        <v>383</v>
      </c>
      <c r="E25" s="95" t="s">
        <v>436</v>
      </c>
      <c r="F25" s="95" t="s">
        <v>406</v>
      </c>
      <c r="G25" s="101"/>
      <c r="H25" s="95" t="s">
        <v>25</v>
      </c>
      <c r="I25" s="288"/>
      <c r="J25" s="288">
        <f>10+15</f>
        <v>25</v>
      </c>
      <c r="K25" s="288"/>
      <c r="L25" s="288">
        <f>15+15</f>
        <v>30</v>
      </c>
      <c r="M25" s="288">
        <f>100+100</f>
        <v>200</v>
      </c>
      <c r="N25" s="145">
        <f t="shared" si="1"/>
        <v>255</v>
      </c>
      <c r="O25" s="319">
        <v>255</v>
      </c>
      <c r="P25" s="95" t="s">
        <v>520</v>
      </c>
      <c r="Q25" s="101">
        <v>46043</v>
      </c>
      <c r="R25" s="1" t="s">
        <v>1773</v>
      </c>
      <c r="S25"/>
    </row>
    <row r="26" spans="1:19" ht="23.25" customHeight="1" x14ac:dyDescent="0.2">
      <c r="A26" s="246" t="s">
        <v>1399</v>
      </c>
      <c r="B26" s="229" t="s">
        <v>488</v>
      </c>
      <c r="C26" s="95" t="s">
        <v>1762</v>
      </c>
      <c r="D26" s="95" t="s">
        <v>39</v>
      </c>
      <c r="E26" s="95" t="s">
        <v>436</v>
      </c>
      <c r="F26" s="95" t="s">
        <v>406</v>
      </c>
      <c r="G26" s="101">
        <v>46037</v>
      </c>
      <c r="H26" s="95" t="s">
        <v>25</v>
      </c>
      <c r="I26" s="288"/>
      <c r="J26" s="288">
        <v>40</v>
      </c>
      <c r="K26" s="288"/>
      <c r="L26" s="288">
        <v>15</v>
      </c>
      <c r="M26" s="288">
        <v>100</v>
      </c>
      <c r="N26" s="145">
        <f t="shared" si="1"/>
        <v>155</v>
      </c>
      <c r="O26" s="319">
        <v>155</v>
      </c>
      <c r="P26" s="95" t="s">
        <v>520</v>
      </c>
      <c r="Q26" s="101">
        <v>46043</v>
      </c>
      <c r="R26" s="1" t="s">
        <v>1774</v>
      </c>
      <c r="S26"/>
    </row>
    <row r="27" spans="1:19" s="43" customFormat="1" ht="18.75" customHeight="1" x14ac:dyDescent="0.2">
      <c r="A27" s="245" t="s">
        <v>1772</v>
      </c>
      <c r="B27" s="229" t="s">
        <v>511</v>
      </c>
      <c r="C27" s="95" t="s">
        <v>1761</v>
      </c>
      <c r="D27" s="95" t="s">
        <v>26</v>
      </c>
      <c r="E27" s="95" t="s">
        <v>436</v>
      </c>
      <c r="F27" s="95" t="s">
        <v>406</v>
      </c>
      <c r="G27" s="101">
        <v>46037</v>
      </c>
      <c r="H27" s="95" t="s">
        <v>25</v>
      </c>
      <c r="I27" s="288">
        <v>25</v>
      </c>
      <c r="J27" s="288">
        <f>10</f>
        <v>10</v>
      </c>
      <c r="K27" s="288"/>
      <c r="L27" s="288">
        <f>15</f>
        <v>15</v>
      </c>
      <c r="M27" s="288">
        <v>100</v>
      </c>
      <c r="N27" s="145">
        <f t="shared" si="1"/>
        <v>150</v>
      </c>
      <c r="O27" s="319">
        <v>146</v>
      </c>
      <c r="P27" s="95" t="s">
        <v>520</v>
      </c>
      <c r="Q27" s="101">
        <v>46043</v>
      </c>
      <c r="R27" s="42" t="s">
        <v>1781</v>
      </c>
    </row>
    <row r="28" spans="1:19" ht="15.75" customHeight="1" x14ac:dyDescent="0.2">
      <c r="A28" s="245" t="s">
        <v>1755</v>
      </c>
      <c r="B28" s="229" t="s">
        <v>512</v>
      </c>
      <c r="C28" s="95" t="s">
        <v>1771</v>
      </c>
      <c r="D28" s="95" t="s">
        <v>26</v>
      </c>
      <c r="E28" s="95" t="s">
        <v>449</v>
      </c>
      <c r="F28" s="95" t="s">
        <v>406</v>
      </c>
      <c r="G28" s="101"/>
      <c r="H28" s="95" t="s">
        <v>25</v>
      </c>
      <c r="I28" s="288">
        <v>150</v>
      </c>
      <c r="J28" s="288">
        <v>80</v>
      </c>
      <c r="K28" s="288"/>
      <c r="L28" s="288"/>
      <c r="M28" s="288">
        <v>120</v>
      </c>
      <c r="N28" s="145">
        <f t="shared" ref="N28:N42" si="2">SUM(I28:M28)</f>
        <v>350</v>
      </c>
      <c r="O28" s="319">
        <v>320</v>
      </c>
      <c r="P28" s="95" t="s">
        <v>520</v>
      </c>
      <c r="Q28" s="101">
        <v>46045</v>
      </c>
      <c r="R28" s="1" t="s">
        <v>1765</v>
      </c>
      <c r="S28"/>
    </row>
    <row r="29" spans="1:19" ht="28.5" customHeight="1" x14ac:dyDescent="0.2">
      <c r="A29" s="245" t="s">
        <v>1296</v>
      </c>
      <c r="B29" s="229" t="s">
        <v>513</v>
      </c>
      <c r="C29" s="99" t="s">
        <v>1770</v>
      </c>
      <c r="D29" s="95" t="s">
        <v>26</v>
      </c>
      <c r="E29" s="95" t="s">
        <v>436</v>
      </c>
      <c r="F29" s="95" t="s">
        <v>406</v>
      </c>
      <c r="G29" s="101"/>
      <c r="H29" s="95" t="s">
        <v>25</v>
      </c>
      <c r="I29" s="288"/>
      <c r="J29" s="288">
        <v>60</v>
      </c>
      <c r="K29" s="288"/>
      <c r="L29" s="288">
        <v>40</v>
      </c>
      <c r="M29" s="288">
        <v>300</v>
      </c>
      <c r="N29" s="145">
        <f t="shared" si="2"/>
        <v>400</v>
      </c>
      <c r="O29" s="319">
        <v>374</v>
      </c>
      <c r="P29" s="95" t="s">
        <v>520</v>
      </c>
      <c r="Q29" s="101">
        <v>46045</v>
      </c>
      <c r="R29" s="1" t="s">
        <v>1783</v>
      </c>
      <c r="S29" t="s">
        <v>1775</v>
      </c>
    </row>
    <row r="30" spans="1:19" ht="30.75" customHeight="1" x14ac:dyDescent="0.2">
      <c r="A30" s="245" t="s">
        <v>1777</v>
      </c>
      <c r="B30" s="229" t="s">
        <v>514</v>
      </c>
      <c r="C30" s="99" t="s">
        <v>1776</v>
      </c>
      <c r="D30" s="95" t="s">
        <v>26</v>
      </c>
      <c r="E30" s="95" t="s">
        <v>436</v>
      </c>
      <c r="F30" s="95" t="s">
        <v>406</v>
      </c>
      <c r="G30" s="101"/>
      <c r="H30" s="95" t="s">
        <v>25</v>
      </c>
      <c r="I30" s="288"/>
      <c r="J30" s="288">
        <f>17+5.5</f>
        <v>22.5</v>
      </c>
      <c r="K30" s="288"/>
      <c r="L30" s="288">
        <f>14+14</f>
        <v>28</v>
      </c>
      <c r="M30" s="288">
        <v>100</v>
      </c>
      <c r="N30" s="145">
        <f t="shared" si="2"/>
        <v>150.5</v>
      </c>
      <c r="O30" s="319">
        <v>150.5</v>
      </c>
      <c r="P30" s="95" t="s">
        <v>520</v>
      </c>
      <c r="Q30" s="101">
        <v>46043</v>
      </c>
      <c r="R30" s="1" t="s">
        <v>1780</v>
      </c>
      <c r="S30"/>
    </row>
    <row r="31" spans="1:19" ht="29.25" customHeight="1" x14ac:dyDescent="0.2">
      <c r="A31" s="245" t="s">
        <v>1778</v>
      </c>
      <c r="B31" s="229" t="s">
        <v>515</v>
      </c>
      <c r="C31" s="99" t="s">
        <v>1790</v>
      </c>
      <c r="D31" s="95" t="s">
        <v>26</v>
      </c>
      <c r="E31" s="95" t="s">
        <v>445</v>
      </c>
      <c r="F31" s="95" t="s">
        <v>406</v>
      </c>
      <c r="G31" s="101"/>
      <c r="H31" s="95" t="s">
        <v>25</v>
      </c>
      <c r="I31" s="288">
        <v>400</v>
      </c>
      <c r="J31" s="288">
        <v>150</v>
      </c>
      <c r="K31" s="288">
        <v>50</v>
      </c>
      <c r="L31" s="288">
        <v>160</v>
      </c>
      <c r="M31" s="288"/>
      <c r="N31" s="145">
        <f t="shared" si="2"/>
        <v>760</v>
      </c>
      <c r="O31" s="319">
        <v>759</v>
      </c>
      <c r="P31" s="95" t="s">
        <v>417</v>
      </c>
      <c r="Q31" s="101">
        <v>46045</v>
      </c>
      <c r="R31" s="1" t="s">
        <v>1779</v>
      </c>
      <c r="S31"/>
    </row>
    <row r="32" spans="1:19" ht="15.75" customHeight="1" x14ac:dyDescent="0.2">
      <c r="A32" s="245" t="s">
        <v>1669</v>
      </c>
      <c r="B32" s="229" t="s">
        <v>516</v>
      </c>
      <c r="C32" s="95" t="s">
        <v>1782</v>
      </c>
      <c r="D32" s="95" t="s">
        <v>26</v>
      </c>
      <c r="E32" s="95" t="s">
        <v>436</v>
      </c>
      <c r="F32" s="95" t="s">
        <v>406</v>
      </c>
      <c r="G32" s="101"/>
      <c r="H32" s="95" t="s">
        <v>25</v>
      </c>
      <c r="I32" s="288"/>
      <c r="J32" s="288">
        <v>10</v>
      </c>
      <c r="K32" s="288"/>
      <c r="L32" s="288">
        <v>15</v>
      </c>
      <c r="M32" s="288">
        <v>100</v>
      </c>
      <c r="N32" s="145">
        <f t="shared" si="2"/>
        <v>125</v>
      </c>
      <c r="O32" s="319">
        <v>125</v>
      </c>
      <c r="P32" s="95" t="s">
        <v>520</v>
      </c>
      <c r="Q32" s="101">
        <v>46048</v>
      </c>
      <c r="R32" s="1" t="s">
        <v>1785</v>
      </c>
      <c r="S32"/>
    </row>
    <row r="33" spans="1:18" s="43" customFormat="1" ht="24" customHeight="1" x14ac:dyDescent="0.2">
      <c r="A33" s="245" t="s">
        <v>907</v>
      </c>
      <c r="B33" s="229" t="s">
        <v>517</v>
      </c>
      <c r="C33" s="95" t="s">
        <v>1784</v>
      </c>
      <c r="D33" s="95" t="s">
        <v>33</v>
      </c>
      <c r="E33" s="95" t="s">
        <v>436</v>
      </c>
      <c r="F33" s="95" t="s">
        <v>406</v>
      </c>
      <c r="G33" s="101"/>
      <c r="H33" s="95" t="s">
        <v>25</v>
      </c>
      <c r="I33" s="288"/>
      <c r="J33" s="288">
        <v>15</v>
      </c>
      <c r="K33" s="288"/>
      <c r="L33" s="288">
        <v>13</v>
      </c>
      <c r="M33" s="288">
        <v>100</v>
      </c>
      <c r="N33" s="145">
        <f t="shared" si="2"/>
        <v>128</v>
      </c>
      <c r="O33" s="319">
        <v>128</v>
      </c>
      <c r="P33" s="95" t="s">
        <v>520</v>
      </c>
      <c r="Q33" s="101">
        <v>46048</v>
      </c>
      <c r="R33" s="1" t="s">
        <v>1786</v>
      </c>
    </row>
    <row r="34" spans="1:18" customFormat="1" ht="15.75" customHeight="1" x14ac:dyDescent="0.2">
      <c r="A34" s="245" t="s">
        <v>1182</v>
      </c>
      <c r="B34" s="229" t="s">
        <v>518</v>
      </c>
      <c r="C34" s="95" t="s">
        <v>1787</v>
      </c>
      <c r="D34" s="95" t="s">
        <v>26</v>
      </c>
      <c r="E34" s="95" t="s">
        <v>661</v>
      </c>
      <c r="F34" s="95" t="s">
        <v>406</v>
      </c>
      <c r="G34" s="101"/>
      <c r="H34" s="95" t="s">
        <v>25</v>
      </c>
      <c r="I34" s="288">
        <v>220</v>
      </c>
      <c r="J34" s="288"/>
      <c r="K34" s="288"/>
      <c r="L34" s="288"/>
      <c r="M34" s="288"/>
      <c r="N34" s="145">
        <f t="shared" si="2"/>
        <v>220</v>
      </c>
      <c r="O34" s="319">
        <v>230</v>
      </c>
      <c r="P34" s="95" t="s">
        <v>520</v>
      </c>
      <c r="Q34" s="101">
        <v>46048</v>
      </c>
      <c r="R34" s="1"/>
    </row>
    <row r="35" spans="1:18" customFormat="1" ht="15.75" customHeight="1" x14ac:dyDescent="0.2">
      <c r="A35" s="245" t="s">
        <v>1778</v>
      </c>
      <c r="B35" s="229" t="s">
        <v>519</v>
      </c>
      <c r="C35" s="95" t="s">
        <v>1788</v>
      </c>
      <c r="D35" s="95" t="s">
        <v>26</v>
      </c>
      <c r="E35" s="95" t="s">
        <v>445</v>
      </c>
      <c r="F35" s="95" t="s">
        <v>406</v>
      </c>
      <c r="G35" s="101"/>
      <c r="H35" s="95" t="s">
        <v>25</v>
      </c>
      <c r="I35" s="288">
        <v>80</v>
      </c>
      <c r="J35" s="288">
        <v>20</v>
      </c>
      <c r="K35" s="288">
        <v>60</v>
      </c>
      <c r="L35" s="288">
        <v>45</v>
      </c>
      <c r="M35" s="288">
        <v>95</v>
      </c>
      <c r="N35" s="145">
        <f t="shared" si="2"/>
        <v>300</v>
      </c>
      <c r="O35" s="319">
        <v>300</v>
      </c>
      <c r="P35" s="95" t="s">
        <v>417</v>
      </c>
      <c r="Q35" s="101">
        <v>46048</v>
      </c>
      <c r="R35" s="1"/>
    </row>
    <row r="36" spans="1:18" customFormat="1" ht="15.75" customHeight="1" x14ac:dyDescent="0.2">
      <c r="A36" s="245" t="s">
        <v>1778</v>
      </c>
      <c r="B36" s="229" t="s">
        <v>546</v>
      </c>
      <c r="C36" s="95" t="s">
        <v>1789</v>
      </c>
      <c r="D36" s="95" t="s">
        <v>26</v>
      </c>
      <c r="E36" s="95" t="s">
        <v>445</v>
      </c>
      <c r="F36" s="95" t="s">
        <v>406</v>
      </c>
      <c r="G36" s="101"/>
      <c r="H36" s="95" t="s">
        <v>25</v>
      </c>
      <c r="I36" s="288">
        <v>80</v>
      </c>
      <c r="J36" s="288">
        <v>20</v>
      </c>
      <c r="K36" s="288"/>
      <c r="L36" s="288">
        <v>45</v>
      </c>
      <c r="M36" s="288">
        <v>85</v>
      </c>
      <c r="N36" s="145">
        <f t="shared" si="2"/>
        <v>230</v>
      </c>
      <c r="O36" s="319">
        <v>230.3</v>
      </c>
      <c r="P36" s="95" t="s">
        <v>417</v>
      </c>
      <c r="Q36" s="101">
        <v>46048</v>
      </c>
      <c r="R36" s="1"/>
    </row>
    <row r="37" spans="1:18" customFormat="1" ht="15.75" customHeight="1" x14ac:dyDescent="0.2">
      <c r="A37" s="245" t="s">
        <v>1755</v>
      </c>
      <c r="B37" s="229" t="s">
        <v>547</v>
      </c>
      <c r="C37" s="95" t="s">
        <v>1754</v>
      </c>
      <c r="D37" s="95" t="s">
        <v>26</v>
      </c>
      <c r="E37" s="95" t="s">
        <v>449</v>
      </c>
      <c r="F37" s="95" t="s">
        <v>1792</v>
      </c>
      <c r="G37" s="101"/>
      <c r="H37" s="95" t="s">
        <v>25</v>
      </c>
      <c r="I37" s="288"/>
      <c r="J37" s="288">
        <v>65</v>
      </c>
      <c r="K37" s="288"/>
      <c r="L37" s="288">
        <v>15</v>
      </c>
      <c r="M37" s="288">
        <v>100</v>
      </c>
      <c r="N37" s="145">
        <f t="shared" si="2"/>
        <v>180</v>
      </c>
      <c r="O37" s="319">
        <v>180</v>
      </c>
      <c r="P37" s="95" t="s">
        <v>520</v>
      </c>
      <c r="Q37" s="101">
        <v>46052</v>
      </c>
      <c r="R37" s="1"/>
    </row>
    <row r="38" spans="1:18" customFormat="1" ht="28.5" customHeight="1" x14ac:dyDescent="0.2">
      <c r="A38" s="246" t="s">
        <v>1590</v>
      </c>
      <c r="B38" s="229" t="s">
        <v>548</v>
      </c>
      <c r="C38" s="95" t="s">
        <v>1791</v>
      </c>
      <c r="D38" s="95" t="s">
        <v>26</v>
      </c>
      <c r="E38" s="95" t="s">
        <v>449</v>
      </c>
      <c r="F38" s="95" t="s">
        <v>406</v>
      </c>
      <c r="G38" s="101"/>
      <c r="H38" s="95" t="s">
        <v>25</v>
      </c>
      <c r="I38" s="288"/>
      <c r="J38" s="288">
        <v>70</v>
      </c>
      <c r="K38" s="288">
        <v>45</v>
      </c>
      <c r="L38" s="288">
        <v>45</v>
      </c>
      <c r="M38" s="288">
        <v>100</v>
      </c>
      <c r="N38" s="145">
        <f t="shared" si="2"/>
        <v>260</v>
      </c>
      <c r="O38" s="319">
        <v>263</v>
      </c>
      <c r="P38" s="95" t="s">
        <v>466</v>
      </c>
      <c r="Q38" s="101">
        <v>46052</v>
      </c>
      <c r="R38" s="1"/>
    </row>
    <row r="39" spans="1:18" customFormat="1" ht="24.75" customHeight="1" x14ac:dyDescent="0.2">
      <c r="A39" s="245" t="s">
        <v>1669</v>
      </c>
      <c r="B39" s="229" t="s">
        <v>549</v>
      </c>
      <c r="C39" s="95" t="s">
        <v>1793</v>
      </c>
      <c r="D39" s="95" t="s">
        <v>26</v>
      </c>
      <c r="E39" s="95" t="s">
        <v>1664</v>
      </c>
      <c r="F39" s="95" t="s">
        <v>406</v>
      </c>
      <c r="G39" s="101"/>
      <c r="H39" s="95" t="s">
        <v>25</v>
      </c>
      <c r="I39" s="288"/>
      <c r="J39" s="288">
        <v>14</v>
      </c>
      <c r="K39" s="288"/>
      <c r="L39" s="288">
        <v>12</v>
      </c>
      <c r="M39" s="288">
        <v>100</v>
      </c>
      <c r="N39" s="145">
        <f t="shared" si="2"/>
        <v>126</v>
      </c>
      <c r="O39" s="319">
        <v>126</v>
      </c>
      <c r="P39" s="95" t="s">
        <v>520</v>
      </c>
      <c r="Q39" s="215">
        <v>46055</v>
      </c>
      <c r="R39" s="1" t="s">
        <v>1794</v>
      </c>
    </row>
    <row r="40" spans="1:18" customFormat="1" ht="26.25" customHeight="1" x14ac:dyDescent="0.2">
      <c r="A40" s="245" t="s">
        <v>1669</v>
      </c>
      <c r="B40" s="229" t="s">
        <v>550</v>
      </c>
      <c r="C40" s="95" t="s">
        <v>1795</v>
      </c>
      <c r="D40" s="95" t="s">
        <v>26</v>
      </c>
      <c r="E40" s="95" t="s">
        <v>1664</v>
      </c>
      <c r="F40" s="95" t="s">
        <v>406</v>
      </c>
      <c r="G40" s="101"/>
      <c r="H40" s="95" t="s">
        <v>25</v>
      </c>
      <c r="I40" s="288"/>
      <c r="J40" s="288">
        <v>14</v>
      </c>
      <c r="K40" s="288"/>
      <c r="L40" s="288">
        <v>12</v>
      </c>
      <c r="M40" s="288">
        <v>100</v>
      </c>
      <c r="N40" s="145">
        <f t="shared" si="2"/>
        <v>126</v>
      </c>
      <c r="O40" s="319">
        <v>126</v>
      </c>
      <c r="P40" s="270" t="s">
        <v>520</v>
      </c>
      <c r="Q40" s="101">
        <v>46059</v>
      </c>
      <c r="R40" s="296" t="s">
        <v>1794</v>
      </c>
    </row>
    <row r="41" spans="1:18" customFormat="1" ht="15.75" customHeight="1" x14ac:dyDescent="0.2">
      <c r="A41" s="245" t="s">
        <v>443</v>
      </c>
      <c r="B41" s="229" t="s">
        <v>551</v>
      </c>
      <c r="C41" s="95" t="s">
        <v>1797</v>
      </c>
      <c r="D41" s="95" t="s">
        <v>26</v>
      </c>
      <c r="E41" s="95" t="s">
        <v>445</v>
      </c>
      <c r="F41" s="95" t="s">
        <v>406</v>
      </c>
      <c r="G41" s="101"/>
      <c r="H41" s="95" t="s">
        <v>25</v>
      </c>
      <c r="I41" s="288">
        <v>170</v>
      </c>
      <c r="J41" s="288">
        <v>70</v>
      </c>
      <c r="K41" s="288">
        <v>90</v>
      </c>
      <c r="L41" s="288">
        <v>50</v>
      </c>
      <c r="M41" s="288">
        <v>100</v>
      </c>
      <c r="N41" s="145">
        <f t="shared" si="2"/>
        <v>480</v>
      </c>
      <c r="O41" s="319">
        <v>522.01</v>
      </c>
      <c r="P41" s="95" t="s">
        <v>520</v>
      </c>
      <c r="Q41" s="297">
        <v>46055</v>
      </c>
      <c r="R41" s="1" t="s">
        <v>1798</v>
      </c>
    </row>
    <row r="42" spans="1:18" customFormat="1" ht="15.75" customHeight="1" x14ac:dyDescent="0.2">
      <c r="A42" s="245" t="s">
        <v>601</v>
      </c>
      <c r="B42" s="229" t="s">
        <v>552</v>
      </c>
      <c r="C42" s="95" t="s">
        <v>1796</v>
      </c>
      <c r="D42" s="95" t="s">
        <v>26</v>
      </c>
      <c r="E42" s="95" t="s">
        <v>445</v>
      </c>
      <c r="F42" s="95" t="s">
        <v>406</v>
      </c>
      <c r="G42" s="101"/>
      <c r="H42" s="95" t="s">
        <v>25</v>
      </c>
      <c r="I42" s="288">
        <v>170</v>
      </c>
      <c r="J42" s="288">
        <v>70</v>
      </c>
      <c r="K42" s="288">
        <v>90</v>
      </c>
      <c r="L42" s="288">
        <v>50</v>
      </c>
      <c r="M42" s="288">
        <v>100</v>
      </c>
      <c r="N42" s="145">
        <f t="shared" si="2"/>
        <v>480</v>
      </c>
      <c r="O42" s="319">
        <v>458</v>
      </c>
      <c r="P42" s="95" t="s">
        <v>520</v>
      </c>
      <c r="Q42" s="101">
        <v>46055</v>
      </c>
      <c r="R42" s="1" t="s">
        <v>1799</v>
      </c>
    </row>
    <row r="43" spans="1:18" customFormat="1" ht="27.75" customHeight="1" x14ac:dyDescent="0.2">
      <c r="A43" s="246" t="s">
        <v>1800</v>
      </c>
      <c r="B43" s="229" t="s">
        <v>553</v>
      </c>
      <c r="C43" s="95" t="s">
        <v>1801</v>
      </c>
      <c r="D43" s="95" t="s">
        <v>26</v>
      </c>
      <c r="E43" s="95" t="s">
        <v>491</v>
      </c>
      <c r="F43" s="95" t="s">
        <v>406</v>
      </c>
      <c r="G43" s="101"/>
      <c r="H43" s="95" t="s">
        <v>25</v>
      </c>
      <c r="I43" s="288"/>
      <c r="J43" s="288">
        <v>100</v>
      </c>
      <c r="K43" s="288"/>
      <c r="L43" s="288">
        <v>40</v>
      </c>
      <c r="M43" s="288">
        <v>60</v>
      </c>
      <c r="N43" s="145">
        <f t="shared" ref="N43:N52" si="3">SUM(I43:M43)</f>
        <v>200</v>
      </c>
      <c r="O43" s="319">
        <v>185</v>
      </c>
      <c r="P43" s="95" t="s">
        <v>425</v>
      </c>
      <c r="Q43" s="101">
        <v>46055</v>
      </c>
      <c r="R43" s="1"/>
    </row>
    <row r="44" spans="1:18" customFormat="1" ht="39" customHeight="1" x14ac:dyDescent="0.2">
      <c r="A44" s="246" t="s">
        <v>1802</v>
      </c>
      <c r="B44" s="229" t="s">
        <v>554</v>
      </c>
      <c r="C44" s="95" t="s">
        <v>1803</v>
      </c>
      <c r="D44" s="95" t="s">
        <v>26</v>
      </c>
      <c r="E44" s="95" t="s">
        <v>445</v>
      </c>
      <c r="F44" s="95" t="s">
        <v>406</v>
      </c>
      <c r="G44" s="101"/>
      <c r="H44" s="95" t="s">
        <v>29</v>
      </c>
      <c r="I44" s="288">
        <v>120</v>
      </c>
      <c r="J44" s="288">
        <v>35</v>
      </c>
      <c r="K44" s="288"/>
      <c r="L44" s="288">
        <v>45</v>
      </c>
      <c r="M44" s="288">
        <v>50</v>
      </c>
      <c r="N44" s="145">
        <f t="shared" si="3"/>
        <v>250</v>
      </c>
      <c r="O44" s="319">
        <v>218</v>
      </c>
      <c r="P44" s="95" t="s">
        <v>520</v>
      </c>
      <c r="Q44" s="146">
        <v>46059</v>
      </c>
      <c r="R44" s="77" t="s">
        <v>1813</v>
      </c>
    </row>
    <row r="45" spans="1:18" s="43" customFormat="1" ht="28.5" customHeight="1" x14ac:dyDescent="0.2">
      <c r="A45" s="245" t="s">
        <v>1603</v>
      </c>
      <c r="B45" s="229" t="s">
        <v>555</v>
      </c>
      <c r="C45" s="99" t="s">
        <v>1805</v>
      </c>
      <c r="D45" s="95" t="s">
        <v>33</v>
      </c>
      <c r="E45" s="95" t="s">
        <v>1648</v>
      </c>
      <c r="F45" s="95" t="s">
        <v>406</v>
      </c>
      <c r="G45" s="101"/>
      <c r="H45" s="95" t="s">
        <v>29</v>
      </c>
      <c r="I45" s="288"/>
      <c r="J45" s="288">
        <v>14</v>
      </c>
      <c r="K45" s="288"/>
      <c r="L45" s="288">
        <f>13+13</f>
        <v>26</v>
      </c>
      <c r="M45" s="288">
        <v>100</v>
      </c>
      <c r="N45" s="145">
        <f t="shared" si="3"/>
        <v>140</v>
      </c>
      <c r="O45" s="319">
        <v>140</v>
      </c>
      <c r="P45" s="95" t="s">
        <v>520</v>
      </c>
      <c r="Q45" s="101">
        <v>46062</v>
      </c>
      <c r="R45" s="42" t="s">
        <v>1804</v>
      </c>
    </row>
    <row r="46" spans="1:18" customFormat="1" ht="25.5" customHeight="1" x14ac:dyDescent="0.2">
      <c r="A46" s="246" t="s">
        <v>1296</v>
      </c>
      <c r="B46" s="229" t="s">
        <v>556</v>
      </c>
      <c r="C46" s="95" t="s">
        <v>1806</v>
      </c>
      <c r="D46" s="95" t="s">
        <v>26</v>
      </c>
      <c r="E46" s="95" t="s">
        <v>436</v>
      </c>
      <c r="F46" s="95" t="s">
        <v>406</v>
      </c>
      <c r="G46" s="101"/>
      <c r="H46" s="95" t="s">
        <v>29</v>
      </c>
      <c r="I46" s="288"/>
      <c r="J46" s="288">
        <v>35</v>
      </c>
      <c r="K46" s="288"/>
      <c r="L46" s="288">
        <v>15</v>
      </c>
      <c r="M46" s="288">
        <v>100</v>
      </c>
      <c r="N46" s="145">
        <f t="shared" si="3"/>
        <v>150</v>
      </c>
      <c r="O46" s="319">
        <v>131</v>
      </c>
      <c r="P46" s="95" t="s">
        <v>520</v>
      </c>
      <c r="Q46" s="146">
        <v>46059</v>
      </c>
      <c r="R46" s="77" t="s">
        <v>1814</v>
      </c>
    </row>
    <row r="47" spans="1:18" customFormat="1" ht="37.5" customHeight="1" x14ac:dyDescent="0.2">
      <c r="A47" s="314" t="s">
        <v>1815</v>
      </c>
      <c r="B47" s="229" t="s">
        <v>557</v>
      </c>
      <c r="C47" s="95" t="s">
        <v>1807</v>
      </c>
      <c r="D47" s="95" t="s">
        <v>26</v>
      </c>
      <c r="E47" s="95" t="s">
        <v>661</v>
      </c>
      <c r="F47" s="95" t="s">
        <v>406</v>
      </c>
      <c r="G47" s="101"/>
      <c r="H47" s="95" t="s">
        <v>29</v>
      </c>
      <c r="I47" s="288">
        <v>210</v>
      </c>
      <c r="J47" s="288">
        <v>70</v>
      </c>
      <c r="K47" s="288">
        <v>250</v>
      </c>
      <c r="L47" s="288">
        <v>80</v>
      </c>
      <c r="M47" s="288">
        <v>90</v>
      </c>
      <c r="N47" s="145">
        <f t="shared" si="3"/>
        <v>700</v>
      </c>
      <c r="O47" s="319">
        <v>521.69000000000005</v>
      </c>
      <c r="P47" s="95" t="s">
        <v>425</v>
      </c>
      <c r="Q47" s="146">
        <v>46059</v>
      </c>
      <c r="R47" s="1"/>
    </row>
    <row r="48" spans="1:18" customFormat="1" ht="40.5" customHeight="1" x14ac:dyDescent="0.2">
      <c r="A48" s="300" t="s">
        <v>1809</v>
      </c>
      <c r="B48" s="301" t="s">
        <v>558</v>
      </c>
      <c r="C48" s="302" t="s">
        <v>1808</v>
      </c>
      <c r="D48" s="302" t="s">
        <v>33</v>
      </c>
      <c r="E48" s="302" t="s">
        <v>436</v>
      </c>
      <c r="F48" s="302" t="s">
        <v>406</v>
      </c>
      <c r="G48" s="303"/>
      <c r="H48" s="302" t="s">
        <v>29</v>
      </c>
      <c r="I48" s="304"/>
      <c r="J48" s="304">
        <v>40</v>
      </c>
      <c r="K48" s="304"/>
      <c r="L48" s="304">
        <v>14</v>
      </c>
      <c r="M48" s="304">
        <v>100</v>
      </c>
      <c r="N48" s="305">
        <f t="shared" si="3"/>
        <v>154</v>
      </c>
      <c r="O48" s="319">
        <v>154</v>
      </c>
      <c r="P48" s="302" t="s">
        <v>520</v>
      </c>
      <c r="Q48" s="303">
        <v>46066</v>
      </c>
      <c r="R48" s="1" t="s">
        <v>1826</v>
      </c>
    </row>
    <row r="49" spans="1:18" s="127" customFormat="1" ht="30" customHeight="1" x14ac:dyDescent="0.2">
      <c r="A49" s="246" t="s">
        <v>1755</v>
      </c>
      <c r="B49" s="298" t="s">
        <v>559</v>
      </c>
      <c r="C49" s="99" t="s">
        <v>1771</v>
      </c>
      <c r="D49" s="95" t="s">
        <v>26</v>
      </c>
      <c r="E49" s="99" t="s">
        <v>413</v>
      </c>
      <c r="F49" s="99" t="s">
        <v>461</v>
      </c>
      <c r="G49" s="146"/>
      <c r="H49" s="95" t="s">
        <v>29</v>
      </c>
      <c r="I49" s="299"/>
      <c r="J49" s="299">
        <f>77+50</f>
        <v>127</v>
      </c>
      <c r="K49" s="299"/>
      <c r="L49" s="299">
        <f>15+15</f>
        <v>30</v>
      </c>
      <c r="M49" s="299"/>
      <c r="N49" s="145">
        <f t="shared" si="3"/>
        <v>157</v>
      </c>
      <c r="O49" s="320">
        <v>157</v>
      </c>
      <c r="P49" s="99" t="s">
        <v>948</v>
      </c>
      <c r="Q49" s="101">
        <v>46062</v>
      </c>
      <c r="R49" s="295"/>
    </row>
    <row r="50" spans="1:18" customFormat="1" ht="30.75" customHeight="1" x14ac:dyDescent="0.2">
      <c r="A50" s="246" t="s">
        <v>1810</v>
      </c>
      <c r="B50" s="229" t="s">
        <v>560</v>
      </c>
      <c r="C50" s="99" t="s">
        <v>1811</v>
      </c>
      <c r="D50" s="95" t="s">
        <v>26</v>
      </c>
      <c r="E50" s="99" t="s">
        <v>413</v>
      </c>
      <c r="F50" s="99" t="s">
        <v>461</v>
      </c>
      <c r="G50" s="101"/>
      <c r="H50" s="95" t="s">
        <v>29</v>
      </c>
      <c r="I50" s="288"/>
      <c r="J50" s="288">
        <f>77+77</f>
        <v>154</v>
      </c>
      <c r="K50" s="288"/>
      <c r="L50" s="288">
        <f>15+15</f>
        <v>30</v>
      </c>
      <c r="M50" s="288"/>
      <c r="N50" s="145">
        <f t="shared" si="3"/>
        <v>184</v>
      </c>
      <c r="O50" s="319">
        <v>184</v>
      </c>
      <c r="P50" s="99" t="s">
        <v>948</v>
      </c>
      <c r="Q50" s="101">
        <v>46062</v>
      </c>
      <c r="R50" s="1"/>
    </row>
    <row r="51" spans="1:18" customFormat="1" ht="39" customHeight="1" x14ac:dyDescent="0.2">
      <c r="A51" s="245" t="s">
        <v>1816</v>
      </c>
      <c r="B51" s="229" t="s">
        <v>561</v>
      </c>
      <c r="C51" s="95" t="s">
        <v>1817</v>
      </c>
      <c r="D51" s="95" t="s">
        <v>26</v>
      </c>
      <c r="E51" s="95" t="s">
        <v>661</v>
      </c>
      <c r="F51" s="95" t="s">
        <v>406</v>
      </c>
      <c r="G51" s="101"/>
      <c r="H51" s="95" t="s">
        <v>29</v>
      </c>
      <c r="I51" s="288">
        <v>100</v>
      </c>
      <c r="J51" s="288">
        <v>50</v>
      </c>
      <c r="K51" s="288">
        <v>350</v>
      </c>
      <c r="L51" s="288">
        <v>50</v>
      </c>
      <c r="M51" s="288"/>
      <c r="N51" s="145">
        <f t="shared" si="3"/>
        <v>550</v>
      </c>
      <c r="O51" s="319">
        <v>395.40999999999997</v>
      </c>
      <c r="P51" s="95" t="s">
        <v>425</v>
      </c>
      <c r="Q51" s="101">
        <v>46063</v>
      </c>
      <c r="R51" s="1"/>
    </row>
    <row r="52" spans="1:18" customFormat="1" ht="15.75" customHeight="1" x14ac:dyDescent="0.2">
      <c r="A52" s="245" t="s">
        <v>1818</v>
      </c>
      <c r="B52" s="229" t="s">
        <v>562</v>
      </c>
      <c r="C52" s="95" t="s">
        <v>1819</v>
      </c>
      <c r="D52" s="95" t="s">
        <v>26</v>
      </c>
      <c r="E52" s="95" t="s">
        <v>1819</v>
      </c>
      <c r="F52" s="95" t="s">
        <v>1819</v>
      </c>
      <c r="G52" s="101"/>
      <c r="H52" s="95" t="s">
        <v>29</v>
      </c>
      <c r="I52" s="288">
        <v>360</v>
      </c>
      <c r="J52" s="288">
        <v>190</v>
      </c>
      <c r="K52" s="288"/>
      <c r="L52" s="288">
        <v>120</v>
      </c>
      <c r="M52" s="288">
        <v>180</v>
      </c>
      <c r="N52" s="145">
        <f t="shared" si="3"/>
        <v>850</v>
      </c>
      <c r="O52" s="319">
        <v>765</v>
      </c>
      <c r="P52" s="99" t="s">
        <v>948</v>
      </c>
      <c r="Q52" s="101">
        <v>46063</v>
      </c>
      <c r="R52" s="1"/>
    </row>
    <row r="53" spans="1:18" customFormat="1" ht="35.25" customHeight="1" x14ac:dyDescent="0.2">
      <c r="A53" s="245" t="s">
        <v>1822</v>
      </c>
      <c r="B53" s="229" t="s">
        <v>563</v>
      </c>
      <c r="C53" s="95" t="s">
        <v>1820</v>
      </c>
      <c r="D53" s="95" t="s">
        <v>26</v>
      </c>
      <c r="E53" s="95" t="s">
        <v>445</v>
      </c>
      <c r="F53" s="95" t="s">
        <v>406</v>
      </c>
      <c r="G53" s="101"/>
      <c r="H53" s="95" t="s">
        <v>29</v>
      </c>
      <c r="I53" s="288">
        <v>140</v>
      </c>
      <c r="J53" s="288">
        <v>50</v>
      </c>
      <c r="K53" s="288">
        <v>80</v>
      </c>
      <c r="L53" s="288">
        <v>50</v>
      </c>
      <c r="M53" s="288">
        <v>80</v>
      </c>
      <c r="N53" s="145">
        <f t="shared" ref="N53:N68" si="4">SUM(I53:M53)</f>
        <v>400</v>
      </c>
      <c r="O53" s="319">
        <v>418</v>
      </c>
      <c r="P53" s="99" t="s">
        <v>1190</v>
      </c>
      <c r="Q53" s="101">
        <v>46064</v>
      </c>
      <c r="R53" s="1"/>
    </row>
    <row r="54" spans="1:18" customFormat="1" ht="15.75" customHeight="1" x14ac:dyDescent="0.2">
      <c r="A54" s="246" t="s">
        <v>1755</v>
      </c>
      <c r="B54" s="229" t="s">
        <v>564</v>
      </c>
      <c r="C54" s="95" t="s">
        <v>1754</v>
      </c>
      <c r="D54" s="95" t="s">
        <v>26</v>
      </c>
      <c r="E54" s="99" t="s">
        <v>413</v>
      </c>
      <c r="F54" s="99" t="s">
        <v>461</v>
      </c>
      <c r="G54" s="101"/>
      <c r="H54" s="95" t="s">
        <v>29</v>
      </c>
      <c r="I54" s="288"/>
      <c r="J54" s="288">
        <v>50</v>
      </c>
      <c r="K54" s="288"/>
      <c r="L54" s="288">
        <v>15</v>
      </c>
      <c r="M54" s="288"/>
      <c r="N54" s="145">
        <f t="shared" si="4"/>
        <v>65</v>
      </c>
      <c r="O54" s="319">
        <v>140</v>
      </c>
      <c r="P54" s="99" t="s">
        <v>948</v>
      </c>
      <c r="Q54" s="101">
        <v>46064</v>
      </c>
      <c r="R54" s="1"/>
    </row>
    <row r="55" spans="1:18" customFormat="1" ht="32.25" customHeight="1" x14ac:dyDescent="0.2">
      <c r="A55" s="245" t="s">
        <v>1531</v>
      </c>
      <c r="B55" s="229" t="s">
        <v>565</v>
      </c>
      <c r="C55" s="95" t="s">
        <v>1821</v>
      </c>
      <c r="D55" s="95" t="s">
        <v>26</v>
      </c>
      <c r="E55" s="95" t="s">
        <v>661</v>
      </c>
      <c r="F55" s="95" t="s">
        <v>1823</v>
      </c>
      <c r="G55" s="101"/>
      <c r="H55" s="95" t="s">
        <v>29</v>
      </c>
      <c r="I55" s="288">
        <v>100</v>
      </c>
      <c r="J55" s="288">
        <v>50</v>
      </c>
      <c r="K55" s="288">
        <v>250</v>
      </c>
      <c r="L55" s="288">
        <v>50</v>
      </c>
      <c r="M55" s="288"/>
      <c r="N55" s="145">
        <f>SUM(I55:M55)</f>
        <v>450</v>
      </c>
      <c r="O55" s="319">
        <v>369.87</v>
      </c>
      <c r="P55" s="95" t="s">
        <v>425</v>
      </c>
      <c r="Q55" s="101">
        <v>46064</v>
      </c>
      <c r="R55" s="1"/>
    </row>
    <row r="56" spans="1:18" customFormat="1" ht="29.25" customHeight="1" x14ac:dyDescent="0.2">
      <c r="A56" s="246" t="s">
        <v>1800</v>
      </c>
      <c r="B56" s="229" t="s">
        <v>566</v>
      </c>
      <c r="C56" s="99" t="s">
        <v>1825</v>
      </c>
      <c r="D56" s="95" t="s">
        <v>26</v>
      </c>
      <c r="E56" s="95" t="s">
        <v>436</v>
      </c>
      <c r="F56" s="95" t="s">
        <v>406</v>
      </c>
      <c r="G56" s="101"/>
      <c r="H56" s="95" t="s">
        <v>29</v>
      </c>
      <c r="I56" s="288"/>
      <c r="J56" s="288">
        <v>16</v>
      </c>
      <c r="K56" s="288"/>
      <c r="L56" s="288">
        <v>15</v>
      </c>
      <c r="M56" s="288">
        <v>100</v>
      </c>
      <c r="N56" s="145">
        <f t="shared" si="4"/>
        <v>131</v>
      </c>
      <c r="O56" s="319">
        <v>131</v>
      </c>
      <c r="P56" s="95" t="s">
        <v>520</v>
      </c>
      <c r="Q56" s="101">
        <v>46066</v>
      </c>
      <c r="R56" s="1" t="s">
        <v>1824</v>
      </c>
    </row>
    <row r="57" spans="1:18" customFormat="1" ht="28.5" customHeight="1" x14ac:dyDescent="0.2">
      <c r="A57" s="246" t="s">
        <v>1827</v>
      </c>
      <c r="B57" s="229" t="s">
        <v>567</v>
      </c>
      <c r="C57" s="95" t="s">
        <v>1828</v>
      </c>
      <c r="D57" s="95" t="s">
        <v>26</v>
      </c>
      <c r="E57" s="95" t="s">
        <v>661</v>
      </c>
      <c r="F57" s="95" t="s">
        <v>406</v>
      </c>
      <c r="G57" s="101"/>
      <c r="H57" s="95" t="s">
        <v>29</v>
      </c>
      <c r="I57" s="288">
        <v>100</v>
      </c>
      <c r="J57" s="288">
        <v>50</v>
      </c>
      <c r="K57" s="288">
        <v>250</v>
      </c>
      <c r="L57" s="288">
        <v>50</v>
      </c>
      <c r="M57" s="288"/>
      <c r="N57" s="145">
        <f t="shared" si="4"/>
        <v>450</v>
      </c>
      <c r="O57" s="319">
        <v>288.98</v>
      </c>
      <c r="P57" s="95" t="s">
        <v>425</v>
      </c>
      <c r="Q57" s="101">
        <v>46066</v>
      </c>
      <c r="R57" s="1"/>
    </row>
    <row r="58" spans="1:18" customFormat="1" ht="15.75" customHeight="1" x14ac:dyDescent="0.2">
      <c r="A58" s="245" t="s">
        <v>697</v>
      </c>
      <c r="B58" s="229" t="s">
        <v>568</v>
      </c>
      <c r="C58" s="95" t="s">
        <v>1829</v>
      </c>
      <c r="D58" s="95" t="s">
        <v>26</v>
      </c>
      <c r="E58" s="99" t="s">
        <v>413</v>
      </c>
      <c r="F58" s="95" t="s">
        <v>406</v>
      </c>
      <c r="G58" s="101"/>
      <c r="H58" s="95" t="s">
        <v>29</v>
      </c>
      <c r="I58" s="288">
        <v>200</v>
      </c>
      <c r="J58" s="288">
        <v>40</v>
      </c>
      <c r="K58" s="288">
        <v>25</v>
      </c>
      <c r="L58" s="288">
        <v>35</v>
      </c>
      <c r="M58" s="288"/>
      <c r="N58" s="145">
        <f t="shared" si="4"/>
        <v>300</v>
      </c>
      <c r="O58" s="319">
        <v>264</v>
      </c>
      <c r="P58" s="95" t="s">
        <v>520</v>
      </c>
      <c r="Q58" s="101">
        <v>46066</v>
      </c>
      <c r="R58" s="1" t="s">
        <v>1842</v>
      </c>
    </row>
    <row r="59" spans="1:18" customFormat="1" ht="15.75" customHeight="1" x14ac:dyDescent="0.2">
      <c r="A59" s="245" t="s">
        <v>1830</v>
      </c>
      <c r="B59" s="229" t="s">
        <v>602</v>
      </c>
      <c r="C59" s="95" t="s">
        <v>1831</v>
      </c>
      <c r="D59" s="95" t="s">
        <v>26</v>
      </c>
      <c r="E59" s="95" t="s">
        <v>661</v>
      </c>
      <c r="F59" s="95" t="s">
        <v>406</v>
      </c>
      <c r="G59" s="101"/>
      <c r="H59" s="95" t="s">
        <v>29</v>
      </c>
      <c r="I59" s="288">
        <v>100</v>
      </c>
      <c r="J59" s="288">
        <v>50</v>
      </c>
      <c r="K59" s="288">
        <v>250</v>
      </c>
      <c r="L59" s="288">
        <v>100</v>
      </c>
      <c r="M59" s="288">
        <v>50</v>
      </c>
      <c r="N59" s="145">
        <f t="shared" si="4"/>
        <v>550</v>
      </c>
      <c r="O59" s="319">
        <v>186.51999999999998</v>
      </c>
      <c r="P59" s="95" t="s">
        <v>425</v>
      </c>
      <c r="Q59" s="101">
        <v>46066</v>
      </c>
      <c r="R59" s="1"/>
    </row>
    <row r="60" spans="1:18" customFormat="1" ht="25.5" customHeight="1" x14ac:dyDescent="0.2">
      <c r="A60" s="245" t="s">
        <v>1833</v>
      </c>
      <c r="B60" s="229" t="s">
        <v>603</v>
      </c>
      <c r="C60" s="95" t="s">
        <v>1834</v>
      </c>
      <c r="D60" s="95" t="s">
        <v>26</v>
      </c>
      <c r="E60" s="95" t="s">
        <v>1756</v>
      </c>
      <c r="F60" s="95" t="s">
        <v>406</v>
      </c>
      <c r="G60" s="101"/>
      <c r="H60" s="95" t="s">
        <v>29</v>
      </c>
      <c r="I60" s="288">
        <v>200</v>
      </c>
      <c r="J60" s="288">
        <v>40</v>
      </c>
      <c r="K60" s="288">
        <v>25</v>
      </c>
      <c r="L60" s="288">
        <v>35</v>
      </c>
      <c r="M60" s="288"/>
      <c r="N60" s="145">
        <f t="shared" si="4"/>
        <v>300</v>
      </c>
      <c r="O60" s="319">
        <v>305</v>
      </c>
      <c r="P60" s="95" t="s">
        <v>520</v>
      </c>
      <c r="Q60" s="101">
        <v>46066</v>
      </c>
      <c r="R60" s="1" t="s">
        <v>1841</v>
      </c>
    </row>
    <row r="61" spans="1:18" customFormat="1" ht="30.75" customHeight="1" x14ac:dyDescent="0.2">
      <c r="A61" s="245" t="s">
        <v>1835</v>
      </c>
      <c r="B61" s="229" t="s">
        <v>604</v>
      </c>
      <c r="C61" s="95" t="s">
        <v>1836</v>
      </c>
      <c r="D61" s="95" t="s">
        <v>26</v>
      </c>
      <c r="E61" s="95" t="s">
        <v>710</v>
      </c>
      <c r="F61" s="95" t="s">
        <v>406</v>
      </c>
      <c r="G61" s="101"/>
      <c r="H61" s="95" t="s">
        <v>29</v>
      </c>
      <c r="I61" s="288"/>
      <c r="J61" s="288">
        <v>30</v>
      </c>
      <c r="K61" s="288"/>
      <c r="L61" s="288">
        <v>20</v>
      </c>
      <c r="M61" s="288">
        <v>100</v>
      </c>
      <c r="N61" s="145">
        <f t="shared" si="4"/>
        <v>150</v>
      </c>
      <c r="O61" s="319">
        <v>131</v>
      </c>
      <c r="P61" s="95" t="s">
        <v>520</v>
      </c>
      <c r="Q61" s="101">
        <v>46066</v>
      </c>
      <c r="R61" s="1" t="s">
        <v>1824</v>
      </c>
    </row>
    <row r="62" spans="1:18" customFormat="1" ht="24.75" customHeight="1" x14ac:dyDescent="0.2">
      <c r="A62" s="245" t="s">
        <v>1839</v>
      </c>
      <c r="B62" s="229" t="s">
        <v>605</v>
      </c>
      <c r="C62" s="95" t="s">
        <v>1838</v>
      </c>
      <c r="D62" s="95" t="s">
        <v>383</v>
      </c>
      <c r="E62" s="95" t="s">
        <v>1837</v>
      </c>
      <c r="F62" s="95" t="s">
        <v>406</v>
      </c>
      <c r="G62" s="101"/>
      <c r="H62" s="95" t="s">
        <v>29</v>
      </c>
      <c r="I62" s="288">
        <v>200</v>
      </c>
      <c r="J62" s="288">
        <v>60</v>
      </c>
      <c r="K62" s="288"/>
      <c r="L62" s="288">
        <v>40</v>
      </c>
      <c r="M62" s="288"/>
      <c r="N62" s="145">
        <f t="shared" si="4"/>
        <v>300</v>
      </c>
      <c r="O62" s="319">
        <v>300</v>
      </c>
      <c r="P62" s="95" t="s">
        <v>417</v>
      </c>
      <c r="Q62" s="101">
        <v>46066</v>
      </c>
      <c r="R62" s="1" t="s">
        <v>1832</v>
      </c>
    </row>
    <row r="63" spans="1:18" customFormat="1" ht="34.5" customHeight="1" x14ac:dyDescent="0.2">
      <c r="A63" s="245" t="s">
        <v>1637</v>
      </c>
      <c r="B63" s="229" t="s">
        <v>606</v>
      </c>
      <c r="C63" s="95" t="s">
        <v>1840</v>
      </c>
      <c r="D63" s="95" t="s">
        <v>26</v>
      </c>
      <c r="E63" s="95" t="s">
        <v>661</v>
      </c>
      <c r="F63" s="95" t="s">
        <v>406</v>
      </c>
      <c r="G63" s="101"/>
      <c r="H63" s="95" t="s">
        <v>29</v>
      </c>
      <c r="I63" s="288">
        <v>150</v>
      </c>
      <c r="J63" s="288"/>
      <c r="K63" s="288"/>
      <c r="L63" s="288"/>
      <c r="M63" s="288"/>
      <c r="N63" s="145">
        <f t="shared" si="4"/>
        <v>150</v>
      </c>
      <c r="O63" s="319">
        <v>120</v>
      </c>
      <c r="P63" s="95" t="s">
        <v>425</v>
      </c>
      <c r="Q63" s="101">
        <v>46076</v>
      </c>
      <c r="R63" s="1"/>
    </row>
    <row r="64" spans="1:18" customFormat="1" ht="25.5" customHeight="1" x14ac:dyDescent="0.2">
      <c r="A64" s="245" t="s">
        <v>1296</v>
      </c>
      <c r="B64" s="229" t="s">
        <v>607</v>
      </c>
      <c r="C64" s="95" t="s">
        <v>1806</v>
      </c>
      <c r="D64" s="95" t="s">
        <v>26</v>
      </c>
      <c r="E64" s="95" t="s">
        <v>710</v>
      </c>
      <c r="F64" s="99" t="s">
        <v>1844</v>
      </c>
      <c r="G64" s="101"/>
      <c r="H64" s="95" t="s">
        <v>29</v>
      </c>
      <c r="I64" s="288"/>
      <c r="J64" s="288">
        <v>50</v>
      </c>
      <c r="K64" s="288"/>
      <c r="L64" s="288">
        <v>30</v>
      </c>
      <c r="M64" s="288">
        <v>200</v>
      </c>
      <c r="N64" s="145">
        <f t="shared" si="4"/>
        <v>280</v>
      </c>
      <c r="O64" s="319">
        <v>275</v>
      </c>
      <c r="P64" s="95" t="s">
        <v>520</v>
      </c>
      <c r="Q64" s="101">
        <v>46071</v>
      </c>
      <c r="R64" s="1" t="s">
        <v>1843</v>
      </c>
    </row>
    <row r="65" spans="1:18" customFormat="1" ht="15.75" customHeight="1" x14ac:dyDescent="0.2">
      <c r="A65" s="245" t="s">
        <v>443</v>
      </c>
      <c r="B65" s="229" t="s">
        <v>608</v>
      </c>
      <c r="C65" s="95" t="s">
        <v>1864</v>
      </c>
      <c r="D65" s="95" t="s">
        <v>26</v>
      </c>
      <c r="E65" s="95" t="s">
        <v>445</v>
      </c>
      <c r="F65" s="95" t="s">
        <v>406</v>
      </c>
      <c r="G65" s="101"/>
      <c r="H65" s="95" t="s">
        <v>29</v>
      </c>
      <c r="I65" s="288">
        <f>400</f>
        <v>400</v>
      </c>
      <c r="J65" s="288">
        <v>150</v>
      </c>
      <c r="K65" s="288">
        <v>150</v>
      </c>
      <c r="L65" s="288">
        <v>100</v>
      </c>
      <c r="M65" s="288"/>
      <c r="N65" s="145">
        <f t="shared" si="4"/>
        <v>800</v>
      </c>
      <c r="O65" s="319">
        <v>622.5</v>
      </c>
      <c r="P65" s="95" t="s">
        <v>520</v>
      </c>
      <c r="Q65" s="101">
        <v>46073</v>
      </c>
      <c r="R65" s="1"/>
    </row>
    <row r="66" spans="1:18" customFormat="1" ht="15.75" customHeight="1" x14ac:dyDescent="0.2">
      <c r="A66" s="245" t="s">
        <v>1865</v>
      </c>
      <c r="B66" s="229" t="s">
        <v>609</v>
      </c>
      <c r="C66" s="95" t="s">
        <v>1866</v>
      </c>
      <c r="D66" s="95" t="s">
        <v>26</v>
      </c>
      <c r="E66" s="95" t="s">
        <v>436</v>
      </c>
      <c r="F66" s="95" t="s">
        <v>406</v>
      </c>
      <c r="G66" s="101"/>
      <c r="H66" s="95" t="s">
        <v>29</v>
      </c>
      <c r="I66" s="288"/>
      <c r="J66" s="288">
        <v>40</v>
      </c>
      <c r="K66" s="288"/>
      <c r="L66" s="288"/>
      <c r="M66" s="288">
        <v>80</v>
      </c>
      <c r="N66" s="145">
        <f t="shared" si="4"/>
        <v>120</v>
      </c>
      <c r="O66" s="319">
        <v>120</v>
      </c>
      <c r="P66" s="95" t="s">
        <v>520</v>
      </c>
      <c r="Q66" s="101">
        <v>46073</v>
      </c>
      <c r="R66" s="1" t="s">
        <v>1813</v>
      </c>
    </row>
    <row r="67" spans="1:18" customFormat="1" ht="15.75" customHeight="1" x14ac:dyDescent="0.2">
      <c r="A67" s="245" t="s">
        <v>418</v>
      </c>
      <c r="B67" s="229" t="s">
        <v>610</v>
      </c>
      <c r="C67" s="95" t="s">
        <v>1867</v>
      </c>
      <c r="D67" s="95" t="s">
        <v>26</v>
      </c>
      <c r="E67" s="95"/>
      <c r="F67" s="95" t="s">
        <v>406</v>
      </c>
      <c r="G67" s="101"/>
      <c r="H67" s="95" t="s">
        <v>29</v>
      </c>
      <c r="I67" s="288">
        <v>70</v>
      </c>
      <c r="J67" s="288">
        <v>50</v>
      </c>
      <c r="K67" s="288">
        <v>30</v>
      </c>
      <c r="L67" s="288">
        <v>50</v>
      </c>
      <c r="M67" s="288">
        <v>100</v>
      </c>
      <c r="N67" s="145">
        <f t="shared" si="4"/>
        <v>300</v>
      </c>
      <c r="O67" s="319">
        <v>273.89</v>
      </c>
      <c r="P67" s="95" t="s">
        <v>466</v>
      </c>
      <c r="Q67" s="101">
        <v>46073</v>
      </c>
      <c r="R67" s="1"/>
    </row>
    <row r="68" spans="1:18" customFormat="1" ht="24.75" customHeight="1" x14ac:dyDescent="0.2">
      <c r="A68" s="245" t="s">
        <v>1868</v>
      </c>
      <c r="B68" s="229" t="s">
        <v>611</v>
      </c>
      <c r="C68" s="95" t="s">
        <v>1869</v>
      </c>
      <c r="D68" s="95" t="s">
        <v>26</v>
      </c>
      <c r="E68" s="95" t="s">
        <v>1756</v>
      </c>
      <c r="F68" s="95" t="s">
        <v>406</v>
      </c>
      <c r="G68" s="101"/>
      <c r="H68" s="95" t="s">
        <v>29</v>
      </c>
      <c r="I68" s="288">
        <v>220</v>
      </c>
      <c r="J68" s="288">
        <v>50</v>
      </c>
      <c r="K68" s="288">
        <v>40</v>
      </c>
      <c r="L68" s="288">
        <v>50</v>
      </c>
      <c r="M68" s="288"/>
      <c r="N68" s="145">
        <f t="shared" si="4"/>
        <v>360</v>
      </c>
      <c r="O68" s="319">
        <v>312</v>
      </c>
      <c r="P68" s="95" t="s">
        <v>520</v>
      </c>
      <c r="Q68" s="101">
        <v>46073</v>
      </c>
      <c r="R68" s="295" t="s">
        <v>1874</v>
      </c>
    </row>
    <row r="69" spans="1:18" customFormat="1" ht="29.25" customHeight="1" x14ac:dyDescent="0.2">
      <c r="A69" s="246" t="s">
        <v>1871</v>
      </c>
      <c r="B69" s="229" t="s">
        <v>612</v>
      </c>
      <c r="C69" s="95" t="s">
        <v>1870</v>
      </c>
      <c r="D69" s="95" t="s">
        <v>26</v>
      </c>
      <c r="E69" s="95" t="s">
        <v>491</v>
      </c>
      <c r="F69" s="95" t="s">
        <v>406</v>
      </c>
      <c r="G69" s="101"/>
      <c r="H69" s="95" t="s">
        <v>29</v>
      </c>
      <c r="I69" s="288"/>
      <c r="J69" s="288">
        <v>70</v>
      </c>
      <c r="K69" s="288"/>
      <c r="L69" s="288">
        <v>60</v>
      </c>
      <c r="M69" s="288">
        <v>70</v>
      </c>
      <c r="N69" s="145">
        <f t="shared" ref="N69" si="5">SUM(I69:M69)</f>
        <v>200</v>
      </c>
      <c r="O69" s="319">
        <v>286</v>
      </c>
      <c r="P69" s="95" t="s">
        <v>425</v>
      </c>
      <c r="Q69" s="101">
        <v>46076</v>
      </c>
      <c r="R69" s="1"/>
    </row>
    <row r="70" spans="1:18" s="43" customFormat="1" ht="18" customHeight="1" x14ac:dyDescent="0.2">
      <c r="A70" s="245" t="s">
        <v>1875</v>
      </c>
      <c r="B70" s="229" t="s">
        <v>613</v>
      </c>
      <c r="C70" s="95" t="s">
        <v>1873</v>
      </c>
      <c r="D70" s="95" t="s">
        <v>26</v>
      </c>
      <c r="E70" s="95" t="s">
        <v>445</v>
      </c>
      <c r="F70" s="95" t="s">
        <v>406</v>
      </c>
      <c r="G70" s="101"/>
      <c r="H70" s="95" t="s">
        <v>29</v>
      </c>
      <c r="I70" s="288">
        <f>400</f>
        <v>400</v>
      </c>
      <c r="J70" s="288">
        <v>150</v>
      </c>
      <c r="K70" s="288">
        <v>150</v>
      </c>
      <c r="L70" s="288">
        <v>100</v>
      </c>
      <c r="M70" s="288"/>
      <c r="N70" s="145">
        <f t="shared" ref="N70:N71" si="6">SUM(I70:M70)</f>
        <v>800</v>
      </c>
      <c r="O70" s="319">
        <v>803</v>
      </c>
      <c r="P70" s="95" t="s">
        <v>520</v>
      </c>
      <c r="Q70" s="101">
        <v>46076</v>
      </c>
      <c r="R70" s="42"/>
    </row>
    <row r="71" spans="1:18" customFormat="1" ht="18" customHeight="1" x14ac:dyDescent="0.2">
      <c r="A71" s="245" t="s">
        <v>1868</v>
      </c>
      <c r="B71" s="229" t="s">
        <v>614</v>
      </c>
      <c r="C71" s="95" t="s">
        <v>1876</v>
      </c>
      <c r="D71" s="95" t="s">
        <v>26</v>
      </c>
      <c r="E71" s="95" t="s">
        <v>1756</v>
      </c>
      <c r="F71" s="95" t="s">
        <v>406</v>
      </c>
      <c r="G71" s="101"/>
      <c r="H71" s="95" t="s">
        <v>29</v>
      </c>
      <c r="I71" s="288"/>
      <c r="J71" s="288">
        <v>80</v>
      </c>
      <c r="K71" s="288">
        <v>47</v>
      </c>
      <c r="L71" s="288">
        <v>55</v>
      </c>
      <c r="M71" s="288">
        <v>100</v>
      </c>
      <c r="N71" s="145">
        <f t="shared" si="6"/>
        <v>282</v>
      </c>
      <c r="O71" s="319">
        <v>282</v>
      </c>
      <c r="P71" s="95" t="s">
        <v>520</v>
      </c>
      <c r="Q71" s="101">
        <v>46066</v>
      </c>
      <c r="R71" s="1"/>
    </row>
    <row r="72" spans="1:18" customFormat="1" ht="28.5" customHeight="1" x14ac:dyDescent="0.2">
      <c r="A72" s="245" t="s">
        <v>1872</v>
      </c>
      <c r="B72" s="229" t="s">
        <v>615</v>
      </c>
      <c r="C72" s="95" t="s">
        <v>1877</v>
      </c>
      <c r="D72" s="95" t="s">
        <v>26</v>
      </c>
      <c r="E72" s="95" t="s">
        <v>710</v>
      </c>
      <c r="F72" s="95" t="s">
        <v>406</v>
      </c>
      <c r="G72" s="101"/>
      <c r="H72" s="95" t="s">
        <v>29</v>
      </c>
      <c r="I72" s="288"/>
      <c r="J72" s="288">
        <v>8</v>
      </c>
      <c r="K72" s="288"/>
      <c r="L72" s="288">
        <v>12</v>
      </c>
      <c r="M72" s="288">
        <v>100</v>
      </c>
      <c r="N72" s="145">
        <f>SUM(I72:M72)</f>
        <v>120</v>
      </c>
      <c r="O72" s="319">
        <v>120</v>
      </c>
      <c r="P72" s="95" t="s">
        <v>520</v>
      </c>
      <c r="Q72" s="101">
        <v>46078</v>
      </c>
      <c r="R72" s="1" t="s">
        <v>1878</v>
      </c>
    </row>
    <row r="73" spans="1:18" customFormat="1" ht="42" customHeight="1" x14ac:dyDescent="0.2">
      <c r="A73" s="245" t="s">
        <v>1833</v>
      </c>
      <c r="B73" s="229" t="s">
        <v>616</v>
      </c>
      <c r="C73" s="99" t="s">
        <v>1890</v>
      </c>
      <c r="D73" s="95" t="s">
        <v>26</v>
      </c>
      <c r="E73" s="95" t="s">
        <v>710</v>
      </c>
      <c r="F73" s="95"/>
      <c r="G73" s="101"/>
      <c r="H73" s="95" t="s">
        <v>29</v>
      </c>
      <c r="I73" s="288"/>
      <c r="J73" s="288">
        <f>77+77+93+50</f>
        <v>297</v>
      </c>
      <c r="K73" s="288"/>
      <c r="L73" s="288">
        <f>15+15+15+15</f>
        <v>60</v>
      </c>
      <c r="M73" s="288"/>
      <c r="N73" s="145">
        <f t="shared" ref="N73:N75" si="7">SUM(I73:M73)</f>
        <v>357</v>
      </c>
      <c r="O73" s="319">
        <v>357</v>
      </c>
      <c r="P73" s="99" t="s">
        <v>948</v>
      </c>
      <c r="Q73" s="101">
        <v>46083</v>
      </c>
      <c r="R73" s="1" t="s">
        <v>1814</v>
      </c>
    </row>
    <row r="74" spans="1:18" customFormat="1" ht="15.75" customHeight="1" x14ac:dyDescent="0.2">
      <c r="A74" s="245" t="s">
        <v>1879</v>
      </c>
      <c r="B74" s="229" t="s">
        <v>617</v>
      </c>
      <c r="C74" s="95" t="s">
        <v>1880</v>
      </c>
      <c r="D74" s="95" t="s">
        <v>26</v>
      </c>
      <c r="E74" s="95" t="s">
        <v>445</v>
      </c>
      <c r="F74" s="95" t="s">
        <v>406</v>
      </c>
      <c r="G74" s="101"/>
      <c r="H74" s="95" t="s">
        <v>29</v>
      </c>
      <c r="I74" s="288">
        <v>140</v>
      </c>
      <c r="J74" s="288">
        <v>50</v>
      </c>
      <c r="K74" s="288">
        <v>190</v>
      </c>
      <c r="L74" s="288">
        <v>90</v>
      </c>
      <c r="M74" s="288">
        <v>130</v>
      </c>
      <c r="N74" s="145">
        <f t="shared" si="7"/>
        <v>600</v>
      </c>
      <c r="O74" s="319">
        <v>544.4</v>
      </c>
      <c r="P74" s="95" t="s">
        <v>520</v>
      </c>
      <c r="Q74" s="101">
        <v>46078</v>
      </c>
      <c r="R74" s="1" t="s">
        <v>1883</v>
      </c>
    </row>
    <row r="75" spans="1:18" customFormat="1" ht="15.75" customHeight="1" x14ac:dyDescent="0.2">
      <c r="A75" s="245" t="s">
        <v>1833</v>
      </c>
      <c r="B75" s="229" t="s">
        <v>618</v>
      </c>
      <c r="C75" s="95" t="s">
        <v>1881</v>
      </c>
      <c r="D75" s="95" t="s">
        <v>26</v>
      </c>
      <c r="E75" s="95" t="s">
        <v>449</v>
      </c>
      <c r="F75" s="95" t="s">
        <v>406</v>
      </c>
      <c r="G75" s="101"/>
      <c r="H75" s="95" t="s">
        <v>29</v>
      </c>
      <c r="I75" s="288">
        <v>190</v>
      </c>
      <c r="J75" s="288">
        <v>95</v>
      </c>
      <c r="K75" s="288"/>
      <c r="L75" s="288">
        <v>15</v>
      </c>
      <c r="M75" s="288"/>
      <c r="N75" s="145">
        <f t="shared" si="7"/>
        <v>300</v>
      </c>
      <c r="O75" s="319">
        <v>280</v>
      </c>
      <c r="P75" s="99" t="s">
        <v>948</v>
      </c>
      <c r="Q75" s="101">
        <v>46078</v>
      </c>
      <c r="R75" s="1" t="s">
        <v>1882</v>
      </c>
    </row>
    <row r="76" spans="1:18" customFormat="1" ht="32.25" customHeight="1" x14ac:dyDescent="0.2">
      <c r="A76" s="245" t="s">
        <v>1868</v>
      </c>
      <c r="B76" s="229" t="s">
        <v>706</v>
      </c>
      <c r="C76" s="95" t="s">
        <v>1829</v>
      </c>
      <c r="D76" s="95" t="s">
        <v>26</v>
      </c>
      <c r="E76" s="95" t="s">
        <v>449</v>
      </c>
      <c r="F76" s="95"/>
      <c r="G76" s="101"/>
      <c r="H76" s="95" t="s">
        <v>29</v>
      </c>
      <c r="I76" s="288"/>
      <c r="J76" s="288">
        <v>45</v>
      </c>
      <c r="K76" s="288">
        <v>30</v>
      </c>
      <c r="L76" s="288">
        <v>45</v>
      </c>
      <c r="M76" s="288">
        <v>80</v>
      </c>
      <c r="N76" s="145">
        <f>SUM(I76:M76)</f>
        <v>200</v>
      </c>
      <c r="O76" s="322">
        <v>166.5</v>
      </c>
      <c r="P76" s="95" t="s">
        <v>520</v>
      </c>
      <c r="Q76" s="101">
        <v>46080</v>
      </c>
      <c r="R76" s="1"/>
    </row>
    <row r="77" spans="1:18" customFormat="1" ht="21.75" customHeight="1" x14ac:dyDescent="0.2">
      <c r="A77" s="245" t="s">
        <v>1182</v>
      </c>
      <c r="B77" s="229" t="s">
        <v>707</v>
      </c>
      <c r="C77" s="95" t="s">
        <v>1885</v>
      </c>
      <c r="D77" s="95" t="s">
        <v>26</v>
      </c>
      <c r="E77" s="95" t="s">
        <v>661</v>
      </c>
      <c r="F77" s="95" t="s">
        <v>406</v>
      </c>
      <c r="G77" s="101">
        <v>46082</v>
      </c>
      <c r="H77" s="95" t="s">
        <v>29</v>
      </c>
      <c r="I77" s="288"/>
      <c r="J77" s="288">
        <v>50</v>
      </c>
      <c r="K77" s="288">
        <v>300</v>
      </c>
      <c r="L77" s="288">
        <v>50</v>
      </c>
      <c r="M77" s="288">
        <v>100</v>
      </c>
      <c r="N77" s="145">
        <f t="shared" ref="N77:N79" si="8">SUM(I77:M77)</f>
        <v>500</v>
      </c>
      <c r="O77" s="319">
        <v>217</v>
      </c>
      <c r="P77" s="95" t="s">
        <v>425</v>
      </c>
      <c r="Q77" s="101">
        <v>46083</v>
      </c>
      <c r="R77" s="1"/>
    </row>
    <row r="78" spans="1:18" customFormat="1" ht="26.25" customHeight="1" x14ac:dyDescent="0.2">
      <c r="A78" s="245" t="s">
        <v>1458</v>
      </c>
      <c r="B78" s="229" t="s">
        <v>708</v>
      </c>
      <c r="C78" s="95" t="s">
        <v>1884</v>
      </c>
      <c r="D78" s="95" t="s">
        <v>26</v>
      </c>
      <c r="E78" s="95" t="s">
        <v>661</v>
      </c>
      <c r="F78" s="95" t="s">
        <v>406</v>
      </c>
      <c r="G78" s="101">
        <v>46083</v>
      </c>
      <c r="H78" s="95" t="s">
        <v>29</v>
      </c>
      <c r="I78" s="288"/>
      <c r="J78" s="288">
        <v>50</v>
      </c>
      <c r="K78" s="288">
        <v>300</v>
      </c>
      <c r="L78" s="288">
        <v>50</v>
      </c>
      <c r="M78" s="288">
        <v>100</v>
      </c>
      <c r="N78" s="145">
        <f t="shared" si="8"/>
        <v>500</v>
      </c>
      <c r="O78" s="319">
        <v>501.69</v>
      </c>
      <c r="P78" s="95" t="s">
        <v>425</v>
      </c>
      <c r="Q78" s="101">
        <v>46083</v>
      </c>
      <c r="R78" s="1"/>
    </row>
    <row r="79" spans="1:18" customFormat="1" ht="35.25" customHeight="1" x14ac:dyDescent="0.2">
      <c r="A79" s="245" t="s">
        <v>1872</v>
      </c>
      <c r="B79" s="229" t="s">
        <v>709</v>
      </c>
      <c r="C79" s="99" t="s">
        <v>1886</v>
      </c>
      <c r="D79" s="95" t="s">
        <v>26</v>
      </c>
      <c r="E79" s="95" t="s">
        <v>1887</v>
      </c>
      <c r="F79" s="95" t="s">
        <v>406</v>
      </c>
      <c r="G79" s="101">
        <v>46084</v>
      </c>
      <c r="H79" s="95" t="s">
        <v>29</v>
      </c>
      <c r="I79" s="288"/>
      <c r="J79" s="288">
        <v>45</v>
      </c>
      <c r="K79" s="288">
        <v>30</v>
      </c>
      <c r="L79" s="288">
        <v>45</v>
      </c>
      <c r="M79" s="288">
        <v>80</v>
      </c>
      <c r="N79" s="145">
        <f t="shared" si="8"/>
        <v>200</v>
      </c>
      <c r="O79" s="319">
        <v>71</v>
      </c>
      <c r="P79" s="95" t="s">
        <v>429</v>
      </c>
      <c r="Q79" s="101">
        <v>46083</v>
      </c>
      <c r="R79" s="1"/>
    </row>
    <row r="80" spans="1:18" customFormat="1" ht="15.75" customHeight="1" x14ac:dyDescent="0.2">
      <c r="A80" s="245" t="s">
        <v>1815</v>
      </c>
      <c r="B80" s="229" t="s">
        <v>714</v>
      </c>
      <c r="C80" s="315" t="s">
        <v>1888</v>
      </c>
      <c r="D80" s="95" t="s">
        <v>26</v>
      </c>
      <c r="E80" s="95" t="s">
        <v>661</v>
      </c>
      <c r="F80" s="95" t="s">
        <v>406</v>
      </c>
      <c r="G80" s="101">
        <v>46082</v>
      </c>
      <c r="H80" s="95" t="s">
        <v>29</v>
      </c>
      <c r="I80" s="288"/>
      <c r="J80" s="288">
        <v>50</v>
      </c>
      <c r="K80" s="288">
        <v>300</v>
      </c>
      <c r="L80" s="288">
        <v>50</v>
      </c>
      <c r="M80" s="288">
        <v>100</v>
      </c>
      <c r="N80" s="145">
        <f t="shared" ref="N80:N84" si="9">SUM(I80:M80)</f>
        <v>500</v>
      </c>
      <c r="O80" s="319">
        <v>558.11</v>
      </c>
      <c r="P80" s="95" t="s">
        <v>425</v>
      </c>
      <c r="Q80" s="101">
        <v>46086</v>
      </c>
      <c r="R80" s="1"/>
    </row>
    <row r="81" spans="1:18" customFormat="1" ht="31.5" customHeight="1" x14ac:dyDescent="0.2">
      <c r="A81" s="246" t="s">
        <v>1899</v>
      </c>
      <c r="B81" s="229" t="s">
        <v>718</v>
      </c>
      <c r="C81" s="99" t="s">
        <v>1900</v>
      </c>
      <c r="D81" s="95" t="s">
        <v>26</v>
      </c>
      <c r="E81" s="95" t="s">
        <v>436</v>
      </c>
      <c r="F81" s="95" t="s">
        <v>406</v>
      </c>
      <c r="G81" s="101"/>
      <c r="H81" s="95" t="s">
        <v>31</v>
      </c>
      <c r="I81" s="288"/>
      <c r="J81" s="288">
        <f>6+43</f>
        <v>49</v>
      </c>
      <c r="K81" s="288"/>
      <c r="L81" s="288">
        <f>13+12</f>
        <v>25</v>
      </c>
      <c r="M81" s="288">
        <f>100+100</f>
        <v>200</v>
      </c>
      <c r="N81" s="145">
        <f t="shared" si="9"/>
        <v>274</v>
      </c>
      <c r="O81" s="319">
        <v>274</v>
      </c>
      <c r="P81" s="95" t="s">
        <v>520</v>
      </c>
      <c r="Q81" s="101">
        <v>46092</v>
      </c>
      <c r="R81" s="295" t="s">
        <v>1903</v>
      </c>
    </row>
    <row r="82" spans="1:18" customFormat="1" ht="15.75" customHeight="1" x14ac:dyDescent="0.2">
      <c r="A82" s="245" t="s">
        <v>1669</v>
      </c>
      <c r="B82" s="229" t="s">
        <v>721</v>
      </c>
      <c r="C82" s="95" t="s">
        <v>1889</v>
      </c>
      <c r="D82" s="95" t="s">
        <v>26</v>
      </c>
      <c r="E82" s="95" t="s">
        <v>436</v>
      </c>
      <c r="F82" s="95" t="s">
        <v>406</v>
      </c>
      <c r="G82" s="101"/>
      <c r="H82" s="95" t="s">
        <v>31</v>
      </c>
      <c r="I82" s="288"/>
      <c r="J82" s="288">
        <f>10</f>
        <v>10</v>
      </c>
      <c r="K82" s="288"/>
      <c r="L82" s="288">
        <f>15</f>
        <v>15</v>
      </c>
      <c r="M82" s="288">
        <f>100</f>
        <v>100</v>
      </c>
      <c r="N82" s="145">
        <f t="shared" si="9"/>
        <v>125</v>
      </c>
      <c r="O82" s="319">
        <v>125</v>
      </c>
      <c r="P82" s="95" t="s">
        <v>520</v>
      </c>
      <c r="Q82" s="101">
        <v>46092</v>
      </c>
      <c r="R82" s="295" t="s">
        <v>1785</v>
      </c>
    </row>
    <row r="83" spans="1:18" customFormat="1" ht="33.75" customHeight="1" x14ac:dyDescent="0.2">
      <c r="A83" s="245" t="s">
        <v>1815</v>
      </c>
      <c r="B83" s="229" t="s">
        <v>722</v>
      </c>
      <c r="C83" s="95" t="s">
        <v>1894</v>
      </c>
      <c r="D83" s="95" t="s">
        <v>26</v>
      </c>
      <c r="E83" s="95" t="s">
        <v>661</v>
      </c>
      <c r="F83" s="95" t="s">
        <v>406</v>
      </c>
      <c r="G83" s="101">
        <v>46085</v>
      </c>
      <c r="H83" s="95" t="s">
        <v>29</v>
      </c>
      <c r="I83" s="288"/>
      <c r="J83" s="288">
        <v>100</v>
      </c>
      <c r="K83" s="288">
        <v>200</v>
      </c>
      <c r="L83" s="288">
        <v>100</v>
      </c>
      <c r="M83" s="288">
        <v>100</v>
      </c>
      <c r="N83" s="145">
        <f t="shared" si="9"/>
        <v>500</v>
      </c>
      <c r="O83" s="319">
        <v>664.06999999999994</v>
      </c>
      <c r="P83" s="95" t="s">
        <v>425</v>
      </c>
      <c r="Q83" s="101">
        <v>46085</v>
      </c>
      <c r="R83" s="1"/>
    </row>
    <row r="84" spans="1:18" customFormat="1" ht="31.5" customHeight="1" x14ac:dyDescent="0.2">
      <c r="A84" s="245" t="s">
        <v>1891</v>
      </c>
      <c r="B84" s="229" t="s">
        <v>723</v>
      </c>
      <c r="C84" s="95" t="s">
        <v>1892</v>
      </c>
      <c r="D84" s="95" t="s">
        <v>383</v>
      </c>
      <c r="E84" s="95" t="s">
        <v>445</v>
      </c>
      <c r="F84" s="95" t="s">
        <v>406</v>
      </c>
      <c r="G84" s="101">
        <v>46086</v>
      </c>
      <c r="H84" s="95" t="s">
        <v>29</v>
      </c>
      <c r="I84" s="288">
        <v>300</v>
      </c>
      <c r="J84" s="288">
        <v>420</v>
      </c>
      <c r="K84" s="288">
        <v>180</v>
      </c>
      <c r="L84" s="288">
        <v>500</v>
      </c>
      <c r="M84" s="288">
        <f>1800+600</f>
        <v>2400</v>
      </c>
      <c r="N84" s="145">
        <f t="shared" si="9"/>
        <v>3800</v>
      </c>
      <c r="O84" s="319">
        <v>3590</v>
      </c>
      <c r="P84" s="95" t="s">
        <v>520</v>
      </c>
      <c r="Q84" s="101">
        <v>46085</v>
      </c>
      <c r="R84" s="1"/>
    </row>
    <row r="85" spans="1:18" customFormat="1" ht="15.75" customHeight="1" x14ac:dyDescent="0.2">
      <c r="A85" s="245" t="s">
        <v>1723</v>
      </c>
      <c r="B85" s="229" t="s">
        <v>730</v>
      </c>
      <c r="C85" s="95" t="s">
        <v>1893</v>
      </c>
      <c r="D85" s="95" t="s">
        <v>26</v>
      </c>
      <c r="E85" s="95" t="s">
        <v>449</v>
      </c>
      <c r="F85" s="95" t="s">
        <v>406</v>
      </c>
      <c r="G85" s="101"/>
      <c r="H85" s="95" t="s">
        <v>29</v>
      </c>
      <c r="I85" s="288">
        <v>100</v>
      </c>
      <c r="J85" s="288">
        <v>100</v>
      </c>
      <c r="K85" s="288">
        <v>50</v>
      </c>
      <c r="L85" s="288">
        <v>100</v>
      </c>
      <c r="M85" s="288"/>
      <c r="N85" s="145">
        <f t="shared" ref="N85:N90" si="10">SUM(I85:M85)</f>
        <v>350</v>
      </c>
      <c r="O85" s="319">
        <v>328.3</v>
      </c>
      <c r="P85" s="95" t="s">
        <v>520</v>
      </c>
      <c r="Q85" s="101">
        <v>46085</v>
      </c>
      <c r="R85" s="1"/>
    </row>
    <row r="86" spans="1:18" customFormat="1" ht="15.75" customHeight="1" x14ac:dyDescent="0.2">
      <c r="A86" s="245" t="s">
        <v>1895</v>
      </c>
      <c r="B86" s="229" t="s">
        <v>731</v>
      </c>
      <c r="C86" s="95" t="s">
        <v>1896</v>
      </c>
      <c r="D86" s="95" t="s">
        <v>26</v>
      </c>
      <c r="E86" s="95" t="s">
        <v>436</v>
      </c>
      <c r="F86" s="95" t="s">
        <v>406</v>
      </c>
      <c r="G86" s="101"/>
      <c r="H86" s="95" t="s">
        <v>31</v>
      </c>
      <c r="I86" s="288"/>
      <c r="J86" s="288">
        <v>15</v>
      </c>
      <c r="K86" s="288"/>
      <c r="L86" s="288"/>
      <c r="M86" s="288">
        <v>100</v>
      </c>
      <c r="N86" s="145">
        <f t="shared" si="10"/>
        <v>115</v>
      </c>
      <c r="O86" s="319">
        <v>115</v>
      </c>
      <c r="P86" s="95" t="s">
        <v>520</v>
      </c>
      <c r="Q86" s="101">
        <v>46105</v>
      </c>
      <c r="R86" s="1" t="s">
        <v>1921</v>
      </c>
    </row>
    <row r="87" spans="1:18" customFormat="1" ht="15.75" customHeight="1" x14ac:dyDescent="0.2">
      <c r="A87" s="245" t="s">
        <v>697</v>
      </c>
      <c r="B87" s="229" t="s">
        <v>732</v>
      </c>
      <c r="C87" s="95" t="s">
        <v>1869</v>
      </c>
      <c r="D87" s="95" t="s">
        <v>26</v>
      </c>
      <c r="E87" s="95" t="s">
        <v>449</v>
      </c>
      <c r="F87" s="95" t="s">
        <v>461</v>
      </c>
      <c r="G87" s="101"/>
      <c r="H87" s="95" t="s">
        <v>31</v>
      </c>
      <c r="I87" s="288"/>
      <c r="J87" s="288">
        <f>78.5+80</f>
        <v>158.5</v>
      </c>
      <c r="K87" s="288"/>
      <c r="L87" s="288">
        <f>30+30</f>
        <v>60</v>
      </c>
      <c r="M87" s="288"/>
      <c r="N87" s="145">
        <f t="shared" si="10"/>
        <v>218.5</v>
      </c>
      <c r="O87" s="319">
        <v>218.5</v>
      </c>
      <c r="P87" s="95" t="s">
        <v>948</v>
      </c>
      <c r="Q87" s="101">
        <v>46092</v>
      </c>
      <c r="R87" s="295" t="s">
        <v>1904</v>
      </c>
    </row>
    <row r="88" spans="1:18" customFormat="1" ht="39.75" customHeight="1" x14ac:dyDescent="0.2">
      <c r="A88" s="246" t="s">
        <v>1897</v>
      </c>
      <c r="B88" s="229" t="s">
        <v>733</v>
      </c>
      <c r="C88" s="99" t="s">
        <v>1898</v>
      </c>
      <c r="D88" s="95" t="s">
        <v>26</v>
      </c>
      <c r="E88" s="95" t="s">
        <v>445</v>
      </c>
      <c r="F88" s="95" t="s">
        <v>406</v>
      </c>
      <c r="G88" s="101"/>
      <c r="H88" s="95" t="s">
        <v>31</v>
      </c>
      <c r="I88" s="288"/>
      <c r="J88" s="288">
        <f>10+10</f>
        <v>20</v>
      </c>
      <c r="K88" s="288"/>
      <c r="L88" s="288">
        <f>15+15</f>
        <v>30</v>
      </c>
      <c r="M88" s="288">
        <f>80+80</f>
        <v>160</v>
      </c>
      <c r="N88" s="145">
        <f t="shared" si="10"/>
        <v>210</v>
      </c>
      <c r="O88" s="319">
        <v>210</v>
      </c>
      <c r="P88" s="95" t="s">
        <v>520</v>
      </c>
      <c r="Q88" s="101">
        <v>46092</v>
      </c>
      <c r="R88" s="295"/>
    </row>
    <row r="89" spans="1:18" customFormat="1" ht="15.75" customHeight="1" x14ac:dyDescent="0.2">
      <c r="A89" s="245" t="s">
        <v>1901</v>
      </c>
      <c r="B89" s="229" t="s">
        <v>746</v>
      </c>
      <c r="C89" s="95" t="s">
        <v>1902</v>
      </c>
      <c r="D89" s="95" t="s">
        <v>26</v>
      </c>
      <c r="E89" s="95" t="s">
        <v>445</v>
      </c>
      <c r="F89" s="95" t="s">
        <v>406</v>
      </c>
      <c r="G89" s="101"/>
      <c r="H89" s="95" t="s">
        <v>31</v>
      </c>
      <c r="I89" s="288">
        <v>200</v>
      </c>
      <c r="J89" s="288">
        <v>50</v>
      </c>
      <c r="K89" s="288">
        <v>180</v>
      </c>
      <c r="L89" s="288">
        <v>90</v>
      </c>
      <c r="M89" s="288">
        <v>130</v>
      </c>
      <c r="N89" s="145">
        <f t="shared" si="10"/>
        <v>650</v>
      </c>
      <c r="O89" s="322">
        <v>648</v>
      </c>
      <c r="P89" s="95" t="s">
        <v>520</v>
      </c>
      <c r="Q89" s="101">
        <v>46097</v>
      </c>
      <c r="R89" s="295"/>
    </row>
    <row r="90" spans="1:18" customFormat="1" ht="15.75" customHeight="1" x14ac:dyDescent="0.2">
      <c r="A90" s="245" t="s">
        <v>656</v>
      </c>
      <c r="B90" s="229" t="s">
        <v>747</v>
      </c>
      <c r="C90" s="95" t="s">
        <v>1905</v>
      </c>
      <c r="D90" s="95" t="s">
        <v>26</v>
      </c>
      <c r="E90" s="95" t="s">
        <v>445</v>
      </c>
      <c r="F90" s="95" t="s">
        <v>406</v>
      </c>
      <c r="G90" s="101"/>
      <c r="H90" s="95" t="s">
        <v>29</v>
      </c>
      <c r="I90" s="288">
        <v>140</v>
      </c>
      <c r="J90" s="288">
        <v>50</v>
      </c>
      <c r="K90" s="288">
        <v>190</v>
      </c>
      <c r="L90" s="288">
        <v>90</v>
      </c>
      <c r="M90" s="288">
        <v>130</v>
      </c>
      <c r="N90" s="145">
        <f t="shared" si="10"/>
        <v>600</v>
      </c>
      <c r="O90" s="319">
        <v>599</v>
      </c>
      <c r="P90" s="95" t="s">
        <v>520</v>
      </c>
      <c r="Q90" s="101">
        <v>46097</v>
      </c>
      <c r="R90" s="295"/>
    </row>
    <row r="91" spans="1:18" customFormat="1" ht="32.25" customHeight="1" x14ac:dyDescent="0.2">
      <c r="A91" s="245" t="s">
        <v>656</v>
      </c>
      <c r="B91" s="229" t="s">
        <v>748</v>
      </c>
      <c r="C91" s="95" t="s">
        <v>1908</v>
      </c>
      <c r="D91" s="95" t="s">
        <v>26</v>
      </c>
      <c r="E91" s="95" t="s">
        <v>445</v>
      </c>
      <c r="F91" s="95" t="s">
        <v>406</v>
      </c>
      <c r="G91" s="101"/>
      <c r="H91" s="95" t="s">
        <v>31</v>
      </c>
      <c r="I91" s="288">
        <v>140</v>
      </c>
      <c r="J91" s="288">
        <v>50</v>
      </c>
      <c r="K91" s="288">
        <v>190</v>
      </c>
      <c r="L91" s="288">
        <v>90</v>
      </c>
      <c r="M91" s="288">
        <v>130</v>
      </c>
      <c r="N91" s="145">
        <f t="shared" ref="N91:N92" si="11">SUM(I91:M91)</f>
        <v>600</v>
      </c>
      <c r="O91" s="319">
        <v>606</v>
      </c>
      <c r="P91" s="95" t="s">
        <v>520</v>
      </c>
      <c r="Q91" s="101">
        <v>46097</v>
      </c>
      <c r="R91" s="295"/>
    </row>
    <row r="92" spans="1:18" customFormat="1" ht="30.75" customHeight="1" x14ac:dyDescent="0.2">
      <c r="A92" s="245" t="s">
        <v>1907</v>
      </c>
      <c r="B92" s="229" t="s">
        <v>753</v>
      </c>
      <c r="C92" s="95" t="s">
        <v>1906</v>
      </c>
      <c r="D92" s="95" t="s">
        <v>26</v>
      </c>
      <c r="E92" s="95" t="s">
        <v>661</v>
      </c>
      <c r="F92" s="95" t="s">
        <v>406</v>
      </c>
      <c r="G92" s="101"/>
      <c r="H92" s="95" t="s">
        <v>31</v>
      </c>
      <c r="I92" s="288"/>
      <c r="J92" s="288">
        <v>100</v>
      </c>
      <c r="K92" s="288">
        <v>200</v>
      </c>
      <c r="L92" s="288">
        <v>100</v>
      </c>
      <c r="M92" s="288">
        <v>100</v>
      </c>
      <c r="N92" s="145">
        <f t="shared" si="11"/>
        <v>500</v>
      </c>
      <c r="O92" s="319">
        <v>460.53</v>
      </c>
      <c r="P92" s="95" t="s">
        <v>425</v>
      </c>
      <c r="Q92" s="101">
        <v>46097</v>
      </c>
      <c r="R92" s="295"/>
    </row>
    <row r="93" spans="1:18" customFormat="1" ht="27" customHeight="1" x14ac:dyDescent="0.2">
      <c r="A93" s="245" t="s">
        <v>2013</v>
      </c>
      <c r="B93" s="229" t="s">
        <v>754</v>
      </c>
      <c r="C93" s="95" t="s">
        <v>1909</v>
      </c>
      <c r="D93" s="95" t="s">
        <v>26</v>
      </c>
      <c r="E93" s="95" t="s">
        <v>661</v>
      </c>
      <c r="F93" s="95" t="s">
        <v>406</v>
      </c>
      <c r="G93" s="101"/>
      <c r="H93" s="95" t="s">
        <v>31</v>
      </c>
      <c r="I93" s="288"/>
      <c r="J93" s="288">
        <v>100</v>
      </c>
      <c r="K93" s="288">
        <v>200</v>
      </c>
      <c r="L93" s="288">
        <v>100</v>
      </c>
      <c r="M93" s="288">
        <v>100</v>
      </c>
      <c r="N93" s="145">
        <f t="shared" ref="N93:N94" si="12">SUM(I93:M93)</f>
        <v>500</v>
      </c>
      <c r="O93" s="319">
        <v>500</v>
      </c>
      <c r="P93" s="95" t="s">
        <v>425</v>
      </c>
      <c r="Q93" s="101">
        <v>46097</v>
      </c>
      <c r="R93" s="295"/>
    </row>
    <row r="94" spans="1:18" customFormat="1" ht="15.75" customHeight="1" x14ac:dyDescent="0.2">
      <c r="A94" s="245" t="s">
        <v>443</v>
      </c>
      <c r="B94" s="229" t="s">
        <v>755</v>
      </c>
      <c r="C94" s="95" t="s">
        <v>1910</v>
      </c>
      <c r="D94" s="95" t="s">
        <v>26</v>
      </c>
      <c r="E94" s="95" t="s">
        <v>445</v>
      </c>
      <c r="F94" s="95" t="s">
        <v>406</v>
      </c>
      <c r="G94" s="101"/>
      <c r="H94" s="95" t="s">
        <v>31</v>
      </c>
      <c r="I94" s="288">
        <v>200</v>
      </c>
      <c r="J94" s="288">
        <v>50</v>
      </c>
      <c r="K94" s="288">
        <v>180</v>
      </c>
      <c r="L94" s="288">
        <v>90</v>
      </c>
      <c r="M94" s="288">
        <v>130</v>
      </c>
      <c r="N94" s="145">
        <f t="shared" si="12"/>
        <v>650</v>
      </c>
      <c r="O94" s="319">
        <v>655</v>
      </c>
      <c r="P94" s="95" t="s">
        <v>520</v>
      </c>
      <c r="Q94" s="101">
        <v>46098</v>
      </c>
      <c r="R94" s="1"/>
    </row>
    <row r="95" spans="1:18" customFormat="1" ht="15.75" customHeight="1" x14ac:dyDescent="0.2">
      <c r="A95" s="245" t="s">
        <v>1911</v>
      </c>
      <c r="B95" s="229" t="s">
        <v>756</v>
      </c>
      <c r="C95" s="95" t="s">
        <v>1912</v>
      </c>
      <c r="D95" s="95" t="s">
        <v>26</v>
      </c>
      <c r="E95" s="95" t="s">
        <v>1756</v>
      </c>
      <c r="F95" s="95"/>
      <c r="G95" s="101"/>
      <c r="H95" s="95" t="s">
        <v>31</v>
      </c>
      <c r="I95" s="288">
        <v>110</v>
      </c>
      <c r="J95" s="288">
        <v>50</v>
      </c>
      <c r="K95" s="288">
        <v>40</v>
      </c>
      <c r="L95" s="288">
        <v>50</v>
      </c>
      <c r="M95" s="288"/>
      <c r="N95" s="145">
        <f>SUM(I95:M95)</f>
        <v>250</v>
      </c>
      <c r="O95" s="319">
        <v>248.8</v>
      </c>
      <c r="P95" s="95" t="s">
        <v>520</v>
      </c>
      <c r="Q95" s="101">
        <v>46098</v>
      </c>
      <c r="R95" s="1"/>
    </row>
    <row r="96" spans="1:18" customFormat="1" ht="15.75" customHeight="1" x14ac:dyDescent="0.2">
      <c r="A96" s="245" t="s">
        <v>1914</v>
      </c>
      <c r="B96" s="229" t="s">
        <v>764</v>
      </c>
      <c r="C96" s="95" t="s">
        <v>1915</v>
      </c>
      <c r="D96" s="95" t="s">
        <v>26</v>
      </c>
      <c r="E96" s="95" t="s">
        <v>661</v>
      </c>
      <c r="F96" s="95" t="s">
        <v>406</v>
      </c>
      <c r="G96" s="101"/>
      <c r="H96" s="95" t="s">
        <v>31</v>
      </c>
      <c r="I96" s="288"/>
      <c r="J96" s="288">
        <v>100</v>
      </c>
      <c r="K96" s="288">
        <v>200</v>
      </c>
      <c r="L96" s="288">
        <v>100</v>
      </c>
      <c r="M96" s="288">
        <v>100</v>
      </c>
      <c r="N96" s="145">
        <f>SUM(I96:M96)</f>
        <v>500</v>
      </c>
      <c r="O96" s="319">
        <v>477.27</v>
      </c>
      <c r="P96" s="95" t="s">
        <v>425</v>
      </c>
      <c r="Q96" s="101">
        <v>46101</v>
      </c>
      <c r="R96" s="295"/>
    </row>
    <row r="97" spans="1:18" customFormat="1" ht="15.75" customHeight="1" x14ac:dyDescent="0.2">
      <c r="A97" s="245" t="s">
        <v>1723</v>
      </c>
      <c r="B97" s="229" t="s">
        <v>765</v>
      </c>
      <c r="C97" s="95" t="s">
        <v>1913</v>
      </c>
      <c r="D97" s="95" t="s">
        <v>26</v>
      </c>
      <c r="E97" s="95" t="s">
        <v>1756</v>
      </c>
      <c r="F97" s="95" t="s">
        <v>406</v>
      </c>
      <c r="G97" s="101"/>
      <c r="H97" s="95" t="s">
        <v>31</v>
      </c>
      <c r="I97" s="288"/>
      <c r="J97" s="288">
        <v>45</v>
      </c>
      <c r="K97" s="288">
        <v>30</v>
      </c>
      <c r="L97" s="288">
        <v>45</v>
      </c>
      <c r="M97" s="288">
        <v>80</v>
      </c>
      <c r="N97" s="145">
        <v>200</v>
      </c>
      <c r="O97" s="319">
        <v>177</v>
      </c>
      <c r="P97" s="95" t="s">
        <v>520</v>
      </c>
      <c r="Q97" s="101">
        <v>46101</v>
      </c>
      <c r="R97" s="295"/>
    </row>
    <row r="98" spans="1:18" customFormat="1" ht="25.5" customHeight="1" x14ac:dyDescent="0.2">
      <c r="A98" s="246" t="s">
        <v>1916</v>
      </c>
      <c r="B98" s="229" t="s">
        <v>766</v>
      </c>
      <c r="C98" s="95" t="s">
        <v>1910</v>
      </c>
      <c r="D98" s="95" t="s">
        <v>26</v>
      </c>
      <c r="E98" s="95" t="s">
        <v>445</v>
      </c>
      <c r="F98" s="95" t="s">
        <v>406</v>
      </c>
      <c r="G98" s="101"/>
      <c r="H98" s="95" t="s">
        <v>31</v>
      </c>
      <c r="I98" s="288"/>
      <c r="J98" s="288">
        <v>100</v>
      </c>
      <c r="K98" s="288">
        <v>200</v>
      </c>
      <c r="L98" s="288">
        <v>100</v>
      </c>
      <c r="M98" s="288">
        <v>100</v>
      </c>
      <c r="N98" s="145">
        <f t="shared" ref="N98" si="13">SUM(I98:M98)</f>
        <v>500</v>
      </c>
      <c r="O98" s="319">
        <v>366.83000000000004</v>
      </c>
      <c r="P98" s="95" t="s">
        <v>425</v>
      </c>
      <c r="Q98" s="101">
        <v>46101</v>
      </c>
      <c r="R98" s="295"/>
    </row>
    <row r="99" spans="1:18" customFormat="1" ht="15.75" customHeight="1" x14ac:dyDescent="0.2">
      <c r="A99" s="245" t="s">
        <v>1637</v>
      </c>
      <c r="B99" s="229" t="s">
        <v>767</v>
      </c>
      <c r="C99" s="95" t="s">
        <v>1917</v>
      </c>
      <c r="D99" s="95" t="s">
        <v>26</v>
      </c>
      <c r="E99" s="95" t="s">
        <v>661</v>
      </c>
      <c r="F99" s="95" t="s">
        <v>406</v>
      </c>
      <c r="G99" s="101"/>
      <c r="H99" s="95" t="s">
        <v>31</v>
      </c>
      <c r="I99" s="288"/>
      <c r="J99" s="288">
        <v>60</v>
      </c>
      <c r="K99" s="288">
        <f>185+60</f>
        <v>245</v>
      </c>
      <c r="L99" s="288">
        <v>35</v>
      </c>
      <c r="M99" s="288">
        <v>80</v>
      </c>
      <c r="N99" s="145">
        <f>SUM(I99:M99)</f>
        <v>420</v>
      </c>
      <c r="O99" s="319">
        <v>371.5</v>
      </c>
      <c r="P99" s="95" t="s">
        <v>425</v>
      </c>
      <c r="Q99" s="101">
        <v>46104</v>
      </c>
      <c r="R99" s="295"/>
    </row>
    <row r="100" spans="1:18" customFormat="1" ht="15.75" customHeight="1" x14ac:dyDescent="0.2">
      <c r="A100" s="245" t="s">
        <v>1918</v>
      </c>
      <c r="B100" s="229" t="s">
        <v>768</v>
      </c>
      <c r="C100" s="95" t="s">
        <v>1919</v>
      </c>
      <c r="D100" s="95" t="s">
        <v>26</v>
      </c>
      <c r="E100" s="95" t="s">
        <v>661</v>
      </c>
      <c r="F100" s="95" t="s">
        <v>406</v>
      </c>
      <c r="G100" s="101"/>
      <c r="H100" s="95" t="s">
        <v>31</v>
      </c>
      <c r="I100" s="288">
        <v>120</v>
      </c>
      <c r="J100" s="288">
        <v>60</v>
      </c>
      <c r="K100" s="288">
        <v>185</v>
      </c>
      <c r="L100" s="288">
        <v>35</v>
      </c>
      <c r="M100" s="288">
        <v>65</v>
      </c>
      <c r="N100" s="145">
        <f>SUM(I100:M100)</f>
        <v>465</v>
      </c>
      <c r="O100" s="319">
        <v>465</v>
      </c>
      <c r="P100" s="95" t="s">
        <v>425</v>
      </c>
      <c r="Q100" s="101">
        <v>46104</v>
      </c>
      <c r="R100" s="295"/>
    </row>
    <row r="101" spans="1:18" customFormat="1" ht="15.75" customHeight="1" x14ac:dyDescent="0.2">
      <c r="A101" s="245" t="s">
        <v>1723</v>
      </c>
      <c r="B101" s="229" t="s">
        <v>769</v>
      </c>
      <c r="C101" s="95" t="s">
        <v>1920</v>
      </c>
      <c r="D101" s="95" t="s">
        <v>26</v>
      </c>
      <c r="E101" s="95" t="s">
        <v>1756</v>
      </c>
      <c r="F101" s="95" t="s">
        <v>406</v>
      </c>
      <c r="G101" s="101"/>
      <c r="H101" s="95" t="s">
        <v>31</v>
      </c>
      <c r="I101" s="288"/>
      <c r="J101" s="288">
        <v>60</v>
      </c>
      <c r="K101" s="288">
        <v>45</v>
      </c>
      <c r="L101" s="288">
        <v>35</v>
      </c>
      <c r="M101" s="288"/>
      <c r="N101" s="145">
        <f>SUM(I101:M101)</f>
        <v>140</v>
      </c>
      <c r="O101" s="319">
        <v>140</v>
      </c>
      <c r="P101" s="95" t="s">
        <v>489</v>
      </c>
      <c r="Q101" s="101">
        <v>46111</v>
      </c>
      <c r="R101" s="295"/>
    </row>
    <row r="102" spans="1:18" customFormat="1" ht="15.75" customHeight="1" x14ac:dyDescent="0.2">
      <c r="A102" s="245" t="s">
        <v>1891</v>
      </c>
      <c r="B102" s="229" t="s">
        <v>788</v>
      </c>
      <c r="C102" s="95" t="s">
        <v>1892</v>
      </c>
      <c r="D102" s="95" t="s">
        <v>383</v>
      </c>
      <c r="E102" s="95" t="s">
        <v>445</v>
      </c>
      <c r="F102" s="95" t="s">
        <v>406</v>
      </c>
      <c r="G102" s="101"/>
      <c r="H102" s="95" t="s">
        <v>31</v>
      </c>
      <c r="I102" s="288">
        <v>100</v>
      </c>
      <c r="J102" s="288"/>
      <c r="K102" s="288">
        <f>150+100</f>
        <v>250</v>
      </c>
      <c r="L102" s="288">
        <v>850</v>
      </c>
      <c r="M102" s="288">
        <f>2340+760</f>
        <v>3100</v>
      </c>
      <c r="N102" s="145">
        <f t="shared" ref="N102:N108" si="14">SUM(I102:M102)</f>
        <v>4300</v>
      </c>
      <c r="O102" s="319">
        <v>4167</v>
      </c>
      <c r="P102" s="95" t="s">
        <v>520</v>
      </c>
      <c r="Q102" s="101">
        <v>46122</v>
      </c>
      <c r="R102" s="295"/>
    </row>
    <row r="103" spans="1:18" customFormat="1" ht="15.75" customHeight="1" x14ac:dyDescent="0.2">
      <c r="A103" s="245" t="s">
        <v>1631</v>
      </c>
      <c r="B103" s="229" t="s">
        <v>789</v>
      </c>
      <c r="C103" s="95" t="s">
        <v>1922</v>
      </c>
      <c r="D103" s="95" t="s">
        <v>26</v>
      </c>
      <c r="E103" s="95"/>
      <c r="F103" s="95" t="s">
        <v>406</v>
      </c>
      <c r="G103" s="101"/>
      <c r="H103" s="95" t="s">
        <v>31</v>
      </c>
      <c r="I103" s="288"/>
      <c r="J103" s="288"/>
      <c r="K103" s="288">
        <v>49</v>
      </c>
      <c r="L103" s="288"/>
      <c r="M103" s="288">
        <v>70</v>
      </c>
      <c r="N103" s="145">
        <f t="shared" si="14"/>
        <v>119</v>
      </c>
      <c r="O103" s="319">
        <v>119</v>
      </c>
      <c r="P103" s="95" t="s">
        <v>466</v>
      </c>
      <c r="Q103" s="101">
        <v>46111</v>
      </c>
      <c r="R103" s="295"/>
    </row>
    <row r="104" spans="1:18" customFormat="1" ht="15.75" customHeight="1" x14ac:dyDescent="0.2">
      <c r="A104" s="245" t="s">
        <v>1923</v>
      </c>
      <c r="B104" s="229" t="s">
        <v>790</v>
      </c>
      <c r="C104" s="95" t="s">
        <v>1924</v>
      </c>
      <c r="D104" s="95" t="s">
        <v>26</v>
      </c>
      <c r="E104" s="95"/>
      <c r="F104" s="95" t="s">
        <v>406</v>
      </c>
      <c r="G104" s="101"/>
      <c r="H104" s="95" t="s">
        <v>31</v>
      </c>
      <c r="I104" s="288"/>
      <c r="J104" s="288">
        <f>63+6</f>
        <v>69</v>
      </c>
      <c r="K104" s="288"/>
      <c r="L104" s="288">
        <v>40</v>
      </c>
      <c r="M104" s="288"/>
      <c r="N104" s="145">
        <f t="shared" si="14"/>
        <v>109</v>
      </c>
      <c r="O104" s="319">
        <v>109</v>
      </c>
      <c r="P104" s="95" t="s">
        <v>489</v>
      </c>
      <c r="Q104" s="101">
        <v>46111</v>
      </c>
      <c r="R104" s="295"/>
    </row>
    <row r="105" spans="1:18" customFormat="1" ht="33" customHeight="1" x14ac:dyDescent="0.2">
      <c r="A105" s="246" t="s">
        <v>1800</v>
      </c>
      <c r="B105" s="229" t="s">
        <v>791</v>
      </c>
      <c r="C105" s="95" t="s">
        <v>1925</v>
      </c>
      <c r="D105" s="95" t="s">
        <v>26</v>
      </c>
      <c r="E105" s="95" t="s">
        <v>1928</v>
      </c>
      <c r="F105" s="95" t="s">
        <v>406</v>
      </c>
      <c r="G105" s="101"/>
      <c r="H105" s="95" t="s">
        <v>31</v>
      </c>
      <c r="I105" s="288"/>
      <c r="J105" s="288">
        <v>70</v>
      </c>
      <c r="K105" s="288">
        <v>85</v>
      </c>
      <c r="L105" s="288">
        <v>45</v>
      </c>
      <c r="M105" s="288"/>
      <c r="N105" s="145">
        <f t="shared" si="14"/>
        <v>200</v>
      </c>
      <c r="O105" s="319">
        <v>168</v>
      </c>
      <c r="P105" s="95" t="s">
        <v>1190</v>
      </c>
      <c r="Q105" s="101">
        <v>46118</v>
      </c>
      <c r="R105" s="295"/>
    </row>
    <row r="106" spans="1:18" customFormat="1" ht="15.75" customHeight="1" x14ac:dyDescent="0.2">
      <c r="A106" s="245" t="s">
        <v>1926</v>
      </c>
      <c r="B106" s="229" t="s">
        <v>792</v>
      </c>
      <c r="C106" s="95" t="s">
        <v>1927</v>
      </c>
      <c r="D106" s="95" t="s">
        <v>26</v>
      </c>
      <c r="E106" s="95" t="s">
        <v>1756</v>
      </c>
      <c r="F106" s="95" t="s">
        <v>406</v>
      </c>
      <c r="G106" s="101"/>
      <c r="H106" s="95" t="s">
        <v>28</v>
      </c>
      <c r="I106" s="288">
        <v>175</v>
      </c>
      <c r="J106" s="288">
        <v>55</v>
      </c>
      <c r="K106" s="288"/>
      <c r="L106" s="288">
        <v>45</v>
      </c>
      <c r="M106" s="288"/>
      <c r="N106" s="145">
        <f t="shared" si="14"/>
        <v>275</v>
      </c>
      <c r="O106" s="319">
        <v>216.9</v>
      </c>
      <c r="P106" s="95" t="s">
        <v>489</v>
      </c>
      <c r="Q106" s="101">
        <v>46118</v>
      </c>
      <c r="R106" s="295"/>
    </row>
    <row r="107" spans="1:18" customFormat="1" ht="46.5" customHeight="1" x14ac:dyDescent="0.2">
      <c r="A107" s="245" t="s">
        <v>1891</v>
      </c>
      <c r="B107" s="229" t="s">
        <v>793</v>
      </c>
      <c r="C107" s="95" t="s">
        <v>1931</v>
      </c>
      <c r="D107" s="95" t="s">
        <v>383</v>
      </c>
      <c r="E107" s="95" t="s">
        <v>445</v>
      </c>
      <c r="F107" s="95" t="s">
        <v>406</v>
      </c>
      <c r="G107" s="101"/>
      <c r="H107" s="95" t="s">
        <v>31</v>
      </c>
      <c r="I107" s="288">
        <v>200</v>
      </c>
      <c r="J107" s="288">
        <f>20*6</f>
        <v>120</v>
      </c>
      <c r="K107" s="288"/>
      <c r="L107" s="288">
        <f>75*8</f>
        <v>600</v>
      </c>
      <c r="M107" s="288">
        <f>(150*8)+(110*8)</f>
        <v>2080</v>
      </c>
      <c r="N107" s="145">
        <f t="shared" si="14"/>
        <v>3000</v>
      </c>
      <c r="O107" s="319">
        <v>2622.4</v>
      </c>
      <c r="P107" s="95" t="s">
        <v>417</v>
      </c>
      <c r="Q107" s="101">
        <v>46127</v>
      </c>
      <c r="R107" s="295"/>
    </row>
    <row r="108" spans="1:18" customFormat="1" ht="15.75" customHeight="1" x14ac:dyDescent="0.2">
      <c r="A108" s="245" t="s">
        <v>1926</v>
      </c>
      <c r="B108" s="229" t="s">
        <v>794</v>
      </c>
      <c r="C108" s="95" t="s">
        <v>1929</v>
      </c>
      <c r="D108" s="95" t="s">
        <v>26</v>
      </c>
      <c r="E108" s="95" t="s">
        <v>1756</v>
      </c>
      <c r="F108" s="95" t="s">
        <v>406</v>
      </c>
      <c r="G108" s="101"/>
      <c r="H108" s="95" t="s">
        <v>28</v>
      </c>
      <c r="I108" s="288">
        <v>180</v>
      </c>
      <c r="J108" s="288">
        <v>35</v>
      </c>
      <c r="K108" s="288">
        <v>20</v>
      </c>
      <c r="L108" s="288"/>
      <c r="M108" s="288"/>
      <c r="N108" s="145">
        <f t="shared" si="14"/>
        <v>235</v>
      </c>
      <c r="O108" s="319">
        <v>228</v>
      </c>
      <c r="P108" s="95" t="s">
        <v>417</v>
      </c>
      <c r="Q108" s="101">
        <v>46127</v>
      </c>
      <c r="R108" s="295"/>
    </row>
    <row r="109" spans="1:18" customFormat="1" ht="15.75" customHeight="1" x14ac:dyDescent="0.2">
      <c r="A109" s="245" t="s">
        <v>1926</v>
      </c>
      <c r="B109" s="229" t="s">
        <v>795</v>
      </c>
      <c r="C109" s="95" t="s">
        <v>1930</v>
      </c>
      <c r="D109" s="95" t="s">
        <v>26</v>
      </c>
      <c r="E109" s="95" t="s">
        <v>1756</v>
      </c>
      <c r="F109" s="95" t="s">
        <v>406</v>
      </c>
      <c r="G109" s="101"/>
      <c r="H109" s="95" t="s">
        <v>28</v>
      </c>
      <c r="I109" s="288">
        <v>180</v>
      </c>
      <c r="J109" s="288">
        <v>35</v>
      </c>
      <c r="K109" s="288">
        <v>20</v>
      </c>
      <c r="L109" s="288"/>
      <c r="M109" s="288"/>
      <c r="N109" s="145">
        <f t="shared" ref="N109:N112" si="15">SUM(I109:M109)</f>
        <v>235</v>
      </c>
      <c r="O109" s="319">
        <v>205.5</v>
      </c>
      <c r="P109" s="95" t="s">
        <v>417</v>
      </c>
      <c r="Q109" s="101">
        <v>46127</v>
      </c>
      <c r="R109" s="295"/>
    </row>
    <row r="110" spans="1:18" customFormat="1" ht="30" customHeight="1" x14ac:dyDescent="0.2">
      <c r="A110" s="245" t="s">
        <v>1410</v>
      </c>
      <c r="B110" s="229" t="s">
        <v>796</v>
      </c>
      <c r="C110" s="95" t="s">
        <v>1932</v>
      </c>
      <c r="D110" s="95" t="s">
        <v>383</v>
      </c>
      <c r="E110" s="95" t="s">
        <v>1933</v>
      </c>
      <c r="F110" s="95" t="s">
        <v>406</v>
      </c>
      <c r="G110" s="101"/>
      <c r="H110" s="95" t="s">
        <v>28</v>
      </c>
      <c r="I110" s="288"/>
      <c r="J110" s="288">
        <v>35</v>
      </c>
      <c r="K110" s="288">
        <v>40</v>
      </c>
      <c r="L110" s="288"/>
      <c r="M110" s="288">
        <v>120</v>
      </c>
      <c r="N110" s="145">
        <f t="shared" si="15"/>
        <v>195</v>
      </c>
      <c r="O110" s="319">
        <v>170</v>
      </c>
      <c r="P110" s="95" t="s">
        <v>520</v>
      </c>
      <c r="Q110" s="101">
        <v>46127</v>
      </c>
      <c r="R110" s="295"/>
    </row>
    <row r="111" spans="1:18" customFormat="1" ht="27.75" customHeight="1" x14ac:dyDescent="0.2">
      <c r="A111" s="246" t="s">
        <v>577</v>
      </c>
      <c r="B111" s="229" t="s">
        <v>804</v>
      </c>
      <c r="C111" s="95" t="s">
        <v>1934</v>
      </c>
      <c r="D111" s="95" t="s">
        <v>26</v>
      </c>
      <c r="E111" s="95" t="s">
        <v>445</v>
      </c>
      <c r="F111" s="95" t="s">
        <v>406</v>
      </c>
      <c r="G111" s="101"/>
      <c r="H111" s="95" t="s">
        <v>28</v>
      </c>
      <c r="I111" s="288">
        <v>220</v>
      </c>
      <c r="J111" s="288">
        <v>100</v>
      </c>
      <c r="K111" s="288">
        <v>120</v>
      </c>
      <c r="L111" s="288"/>
      <c r="M111" s="288">
        <v>100</v>
      </c>
      <c r="N111" s="145">
        <f t="shared" si="15"/>
        <v>540</v>
      </c>
      <c r="O111" s="319">
        <v>529</v>
      </c>
      <c r="P111" s="95" t="s">
        <v>489</v>
      </c>
      <c r="Q111" s="101">
        <v>46127</v>
      </c>
      <c r="R111" s="295"/>
    </row>
    <row r="112" spans="1:18" customFormat="1" ht="53.25" customHeight="1" x14ac:dyDescent="0.2">
      <c r="A112" s="246" t="s">
        <v>1871</v>
      </c>
      <c r="B112" s="229" t="s">
        <v>826</v>
      </c>
      <c r="C112" s="99" t="s">
        <v>1935</v>
      </c>
      <c r="D112" s="95" t="s">
        <v>26</v>
      </c>
      <c r="E112" s="95" t="s">
        <v>1928</v>
      </c>
      <c r="F112" s="95" t="s">
        <v>406</v>
      </c>
      <c r="G112" s="101"/>
      <c r="H112" s="95" t="s">
        <v>28</v>
      </c>
      <c r="I112" s="288"/>
      <c r="J112" s="288">
        <f>51+100+60</f>
        <v>211</v>
      </c>
      <c r="K112" s="288"/>
      <c r="L112" s="288"/>
      <c r="M112" s="288"/>
      <c r="N112" s="145">
        <f t="shared" si="15"/>
        <v>211</v>
      </c>
      <c r="O112" s="319">
        <v>211</v>
      </c>
      <c r="P112" s="95" t="s">
        <v>429</v>
      </c>
      <c r="Q112" s="101">
        <v>46127</v>
      </c>
      <c r="R112" s="295"/>
    </row>
    <row r="113" spans="1:18" customFormat="1" ht="15.75" customHeight="1" x14ac:dyDescent="0.2">
      <c r="A113" s="245" t="s">
        <v>443</v>
      </c>
      <c r="B113" s="229" t="s">
        <v>827</v>
      </c>
      <c r="C113" s="95" t="s">
        <v>1936</v>
      </c>
      <c r="D113" s="95" t="s">
        <v>26</v>
      </c>
      <c r="E113" s="95" t="s">
        <v>445</v>
      </c>
      <c r="F113" s="95" t="s">
        <v>406</v>
      </c>
      <c r="G113" s="101"/>
      <c r="H113" s="95" t="s">
        <v>28</v>
      </c>
      <c r="I113" s="288"/>
      <c r="J113" s="288">
        <v>100</v>
      </c>
      <c r="K113" s="288">
        <v>200</v>
      </c>
      <c r="L113" s="288">
        <v>100</v>
      </c>
      <c r="M113" s="288">
        <v>200</v>
      </c>
      <c r="N113" s="145">
        <f t="shared" ref="N113" si="16">SUM(I113:M113)</f>
        <v>600</v>
      </c>
      <c r="O113" s="319">
        <v>459</v>
      </c>
      <c r="P113" s="95" t="s">
        <v>489</v>
      </c>
      <c r="Q113" s="101">
        <v>46133</v>
      </c>
      <c r="R113" s="295"/>
    </row>
    <row r="114" spans="1:18" customFormat="1" ht="15.75" customHeight="1" x14ac:dyDescent="0.2">
      <c r="A114" s="245" t="s">
        <v>443</v>
      </c>
      <c r="B114" s="229" t="s">
        <v>828</v>
      </c>
      <c r="C114" s="95" t="s">
        <v>1937</v>
      </c>
      <c r="D114" s="95" t="s">
        <v>26</v>
      </c>
      <c r="E114" s="95" t="s">
        <v>445</v>
      </c>
      <c r="F114" s="95" t="s">
        <v>406</v>
      </c>
      <c r="G114" s="101"/>
      <c r="H114" s="95" t="s">
        <v>28</v>
      </c>
      <c r="I114" s="288"/>
      <c r="J114" s="288">
        <v>100</v>
      </c>
      <c r="K114" s="288">
        <v>200</v>
      </c>
      <c r="L114" s="288">
        <v>155</v>
      </c>
      <c r="M114" s="288"/>
      <c r="N114" s="145">
        <f t="shared" ref="N114:N118" si="17">SUM(I114:M114)</f>
        <v>455</v>
      </c>
      <c r="O114" s="319">
        <v>495</v>
      </c>
      <c r="P114" s="95" t="s">
        <v>489</v>
      </c>
      <c r="Q114" s="101">
        <v>46164</v>
      </c>
      <c r="R114" s="295"/>
    </row>
    <row r="115" spans="1:18" customFormat="1" ht="15.75" customHeight="1" x14ac:dyDescent="0.2">
      <c r="A115" s="245" t="s">
        <v>1631</v>
      </c>
      <c r="B115" s="229" t="s">
        <v>843</v>
      </c>
      <c r="C115" s="95" t="s">
        <v>1938</v>
      </c>
      <c r="D115" s="95" t="s">
        <v>26</v>
      </c>
      <c r="E115" s="95" t="s">
        <v>445</v>
      </c>
      <c r="F115" s="95" t="s">
        <v>406</v>
      </c>
      <c r="G115" s="101"/>
      <c r="H115" s="95" t="s">
        <v>28</v>
      </c>
      <c r="I115" s="288"/>
      <c r="J115" s="288"/>
      <c r="K115" s="288">
        <v>80</v>
      </c>
      <c r="L115" s="288">
        <v>40</v>
      </c>
      <c r="M115" s="288">
        <v>80</v>
      </c>
      <c r="N115" s="145">
        <f t="shared" si="17"/>
        <v>200</v>
      </c>
      <c r="O115" s="319">
        <v>200</v>
      </c>
      <c r="P115" s="95" t="s">
        <v>466</v>
      </c>
      <c r="Q115" s="101">
        <v>46165</v>
      </c>
      <c r="R115" s="295"/>
    </row>
    <row r="116" spans="1:18" customFormat="1" ht="30" customHeight="1" x14ac:dyDescent="0.2">
      <c r="A116" s="245" t="s">
        <v>1047</v>
      </c>
      <c r="B116" s="229" t="s">
        <v>850</v>
      </c>
      <c r="C116" s="95" t="s">
        <v>1939</v>
      </c>
      <c r="D116" s="95" t="s">
        <v>26</v>
      </c>
      <c r="E116" s="95" t="s">
        <v>413</v>
      </c>
      <c r="F116" s="95" t="s">
        <v>406</v>
      </c>
      <c r="G116" s="101"/>
      <c r="H116" s="95" t="s">
        <v>28</v>
      </c>
      <c r="I116" s="288">
        <v>180</v>
      </c>
      <c r="J116" s="288">
        <v>45</v>
      </c>
      <c r="K116" s="288">
        <v>80</v>
      </c>
      <c r="L116" s="288"/>
      <c r="M116" s="288">
        <v>70</v>
      </c>
      <c r="N116" s="145">
        <f t="shared" si="17"/>
        <v>375</v>
      </c>
      <c r="O116" s="319">
        <v>332</v>
      </c>
      <c r="P116" s="95" t="s">
        <v>520</v>
      </c>
      <c r="Q116" s="101">
        <v>46165</v>
      </c>
      <c r="R116" s="295"/>
    </row>
    <row r="117" spans="1:18" customFormat="1" ht="15.75" customHeight="1" x14ac:dyDescent="0.2">
      <c r="A117" s="245" t="s">
        <v>1940</v>
      </c>
      <c r="B117" s="229" t="s">
        <v>851</v>
      </c>
      <c r="C117" s="95" t="s">
        <v>1941</v>
      </c>
      <c r="D117" s="95" t="s">
        <v>26</v>
      </c>
      <c r="E117" s="95" t="s">
        <v>445</v>
      </c>
      <c r="F117" s="95" t="s">
        <v>406</v>
      </c>
      <c r="G117" s="101"/>
      <c r="H117" s="95" t="s">
        <v>28</v>
      </c>
      <c r="I117" s="288">
        <v>380</v>
      </c>
      <c r="J117" s="288">
        <v>70</v>
      </c>
      <c r="K117" s="288">
        <v>110</v>
      </c>
      <c r="L117" s="288">
        <v>80</v>
      </c>
      <c r="M117" s="288"/>
      <c r="N117" s="145">
        <f t="shared" si="17"/>
        <v>640</v>
      </c>
      <c r="O117" s="319">
        <v>588.5</v>
      </c>
      <c r="P117" s="95" t="s">
        <v>417</v>
      </c>
      <c r="Q117" s="101">
        <v>46140</v>
      </c>
      <c r="R117" s="295"/>
    </row>
    <row r="118" spans="1:18" customFormat="1" ht="15.75" customHeight="1" x14ac:dyDescent="0.2">
      <c r="A118" s="245" t="s">
        <v>1942</v>
      </c>
      <c r="B118" s="229" t="s">
        <v>854</v>
      </c>
      <c r="C118" s="95" t="s">
        <v>1943</v>
      </c>
      <c r="D118" s="95" t="s">
        <v>26</v>
      </c>
      <c r="E118" s="95" t="s">
        <v>661</v>
      </c>
      <c r="F118" s="95" t="s">
        <v>406</v>
      </c>
      <c r="G118" s="101"/>
      <c r="H118" s="95" t="s">
        <v>28</v>
      </c>
      <c r="I118" s="288">
        <v>120</v>
      </c>
      <c r="J118" s="288">
        <v>50</v>
      </c>
      <c r="K118" s="288">
        <v>295</v>
      </c>
      <c r="L118" s="288">
        <v>40</v>
      </c>
      <c r="M118" s="288">
        <v>80</v>
      </c>
      <c r="N118" s="145">
        <f t="shared" si="17"/>
        <v>585</v>
      </c>
      <c r="O118" s="319">
        <v>457.5</v>
      </c>
      <c r="P118" s="95" t="s">
        <v>425</v>
      </c>
      <c r="Q118" s="101">
        <v>46141</v>
      </c>
      <c r="R118" s="295"/>
    </row>
    <row r="119" spans="1:18" customFormat="1" ht="15.75" customHeight="1" x14ac:dyDescent="0.2">
      <c r="A119" s="245" t="s">
        <v>1942</v>
      </c>
      <c r="B119" s="229" t="s">
        <v>855</v>
      </c>
      <c r="C119" s="95" t="s">
        <v>1944</v>
      </c>
      <c r="D119" s="95" t="s">
        <v>26</v>
      </c>
      <c r="E119" s="95" t="s">
        <v>661</v>
      </c>
      <c r="F119" s="95" t="s">
        <v>406</v>
      </c>
      <c r="G119" s="101"/>
      <c r="H119" s="95" t="s">
        <v>28</v>
      </c>
      <c r="I119" s="288"/>
      <c r="J119" s="288">
        <v>50</v>
      </c>
      <c r="K119" s="288">
        <f>160+100</f>
        <v>260</v>
      </c>
      <c r="L119" s="288">
        <v>40</v>
      </c>
      <c r="M119" s="288">
        <v>80</v>
      </c>
      <c r="N119" s="145">
        <f t="shared" ref="N119:N137" si="18">SUM(I119:M119)</f>
        <v>430</v>
      </c>
      <c r="O119" s="319">
        <v>418</v>
      </c>
      <c r="P119" s="95" t="s">
        <v>425</v>
      </c>
      <c r="Q119" s="101">
        <v>46142</v>
      </c>
      <c r="R119" s="295"/>
    </row>
    <row r="120" spans="1:18" customFormat="1" ht="15.75" customHeight="1" x14ac:dyDescent="0.2">
      <c r="A120" s="245" t="s">
        <v>1705</v>
      </c>
      <c r="B120" s="229" t="s">
        <v>861</v>
      </c>
      <c r="C120" s="95" t="s">
        <v>1945</v>
      </c>
      <c r="D120" s="95" t="s">
        <v>26</v>
      </c>
      <c r="E120" s="95" t="s">
        <v>436</v>
      </c>
      <c r="F120" s="95" t="s">
        <v>406</v>
      </c>
      <c r="G120" s="101"/>
      <c r="H120" s="95" t="s">
        <v>28</v>
      </c>
      <c r="I120" s="288"/>
      <c r="J120" s="288">
        <v>15</v>
      </c>
      <c r="K120" s="288"/>
      <c r="L120" s="288"/>
      <c r="M120" s="288">
        <v>85</v>
      </c>
      <c r="N120" s="145">
        <f t="shared" si="18"/>
        <v>100</v>
      </c>
      <c r="O120" s="319">
        <v>100</v>
      </c>
      <c r="P120" s="95" t="s">
        <v>520</v>
      </c>
      <c r="Q120" s="101">
        <v>46147</v>
      </c>
      <c r="R120" s="295"/>
    </row>
    <row r="121" spans="1:18" customFormat="1" ht="30" customHeight="1" x14ac:dyDescent="0.2">
      <c r="A121" s="245" t="s">
        <v>1946</v>
      </c>
      <c r="B121" s="229" t="s">
        <v>864</v>
      </c>
      <c r="C121" s="95" t="s">
        <v>1947</v>
      </c>
      <c r="D121" s="95" t="s">
        <v>26</v>
      </c>
      <c r="E121" s="95" t="s">
        <v>1887</v>
      </c>
      <c r="F121" s="95" t="s">
        <v>406</v>
      </c>
      <c r="G121" s="101"/>
      <c r="H121" s="95" t="s">
        <v>32</v>
      </c>
      <c r="I121" s="288"/>
      <c r="J121" s="288">
        <v>65</v>
      </c>
      <c r="K121" s="288">
        <v>95</v>
      </c>
      <c r="L121" s="288">
        <v>40</v>
      </c>
      <c r="M121" s="288"/>
      <c r="N121" s="145">
        <f t="shared" si="18"/>
        <v>200</v>
      </c>
      <c r="O121" s="319">
        <v>121</v>
      </c>
      <c r="P121" s="95" t="s">
        <v>489</v>
      </c>
      <c r="Q121" s="101">
        <v>46153</v>
      </c>
      <c r="R121" s="295"/>
    </row>
    <row r="122" spans="1:18" customFormat="1" ht="15.75" customHeight="1" x14ac:dyDescent="0.2">
      <c r="A122" s="245" t="s">
        <v>1723</v>
      </c>
      <c r="B122" s="229" t="s">
        <v>865</v>
      </c>
      <c r="C122" s="95" t="s">
        <v>1948</v>
      </c>
      <c r="D122" s="95" t="s">
        <v>26</v>
      </c>
      <c r="E122" s="95"/>
      <c r="F122" s="95" t="s">
        <v>406</v>
      </c>
      <c r="G122" s="101"/>
      <c r="H122" s="95" t="s">
        <v>32</v>
      </c>
      <c r="I122" s="288">
        <v>300</v>
      </c>
      <c r="J122" s="288">
        <v>70</v>
      </c>
      <c r="K122" s="288">
        <v>70</v>
      </c>
      <c r="L122" s="288"/>
      <c r="M122" s="288"/>
      <c r="N122" s="145">
        <f t="shared" si="18"/>
        <v>440</v>
      </c>
      <c r="O122" s="319">
        <v>385</v>
      </c>
      <c r="P122" s="95" t="s">
        <v>417</v>
      </c>
      <c r="Q122" s="101">
        <v>46161</v>
      </c>
      <c r="R122" s="295"/>
    </row>
    <row r="123" spans="1:18" customFormat="1" ht="26.25" customHeight="1" x14ac:dyDescent="0.2">
      <c r="A123" s="246" t="s">
        <v>1949</v>
      </c>
      <c r="B123" s="229" t="s">
        <v>866</v>
      </c>
      <c r="C123" s="316" t="s">
        <v>1950</v>
      </c>
      <c r="D123" s="95" t="s">
        <v>26</v>
      </c>
      <c r="E123" s="95"/>
      <c r="F123" s="95" t="s">
        <v>406</v>
      </c>
      <c r="G123" s="101"/>
      <c r="H123" s="95" t="s">
        <v>32</v>
      </c>
      <c r="I123" s="288"/>
      <c r="J123" s="288">
        <f>153</f>
        <v>153</v>
      </c>
      <c r="K123" s="288"/>
      <c r="L123" s="288">
        <f>24.5+22.5</f>
        <v>47</v>
      </c>
      <c r="M123" s="288"/>
      <c r="N123" s="145">
        <f t="shared" si="18"/>
        <v>200</v>
      </c>
      <c r="O123" s="319">
        <v>200</v>
      </c>
      <c r="P123" s="95" t="s">
        <v>1190</v>
      </c>
      <c r="Q123" s="101">
        <v>46161</v>
      </c>
      <c r="R123" s="295"/>
    </row>
    <row r="124" spans="1:18" customFormat="1" ht="15.75" customHeight="1" x14ac:dyDescent="0.2">
      <c r="A124" s="245" t="s">
        <v>1891</v>
      </c>
      <c r="B124" s="229" t="s">
        <v>867</v>
      </c>
      <c r="C124" s="95" t="s">
        <v>1951</v>
      </c>
      <c r="D124" s="95" t="s">
        <v>26</v>
      </c>
      <c r="E124" s="95" t="s">
        <v>445</v>
      </c>
      <c r="F124" s="95" t="s">
        <v>406</v>
      </c>
      <c r="G124" s="101"/>
      <c r="H124" s="95" t="s">
        <v>32</v>
      </c>
      <c r="I124" s="288">
        <f>110+110</f>
        <v>220</v>
      </c>
      <c r="J124" s="288">
        <f>52.4</f>
        <v>52.4</v>
      </c>
      <c r="K124" s="288">
        <v>60</v>
      </c>
      <c r="L124" s="288">
        <v>320</v>
      </c>
      <c r="M124" s="288">
        <v>1120</v>
      </c>
      <c r="N124" s="145">
        <f t="shared" si="18"/>
        <v>1772.4</v>
      </c>
      <c r="O124" s="319">
        <v>1567.3700000000001</v>
      </c>
      <c r="P124" s="95" t="s">
        <v>417</v>
      </c>
      <c r="Q124" s="101">
        <v>46157</v>
      </c>
      <c r="R124" s="295"/>
    </row>
    <row r="125" spans="1:18" customFormat="1" ht="51.75" customHeight="1" x14ac:dyDescent="0.2">
      <c r="A125" s="245" t="s">
        <v>697</v>
      </c>
      <c r="B125" s="229" t="s">
        <v>868</v>
      </c>
      <c r="C125" s="95" t="s">
        <v>1952</v>
      </c>
      <c r="D125" s="95" t="s">
        <v>26</v>
      </c>
      <c r="E125" s="95" t="s">
        <v>449</v>
      </c>
      <c r="F125" s="95" t="s">
        <v>406</v>
      </c>
      <c r="G125" s="101"/>
      <c r="H125" s="95" t="s">
        <v>32</v>
      </c>
      <c r="I125" s="288"/>
      <c r="J125" s="288">
        <v>88</v>
      </c>
      <c r="K125" s="288"/>
      <c r="L125" s="288"/>
      <c r="M125" s="288"/>
      <c r="N125" s="145">
        <f t="shared" si="18"/>
        <v>88</v>
      </c>
      <c r="O125" s="319">
        <v>88</v>
      </c>
      <c r="P125" s="95" t="s">
        <v>948</v>
      </c>
      <c r="Q125" s="101">
        <v>46161</v>
      </c>
      <c r="R125" s="295"/>
    </row>
    <row r="126" spans="1:18" customFormat="1" ht="32.25" customHeight="1" x14ac:dyDescent="0.2">
      <c r="A126" s="245" t="s">
        <v>443</v>
      </c>
      <c r="B126" s="229" t="s">
        <v>874</v>
      </c>
      <c r="C126" s="95" t="s">
        <v>1953</v>
      </c>
      <c r="D126" s="95" t="s">
        <v>26</v>
      </c>
      <c r="E126" s="95" t="s">
        <v>445</v>
      </c>
      <c r="F126" s="95" t="s">
        <v>406</v>
      </c>
      <c r="G126" s="101">
        <v>46162</v>
      </c>
      <c r="H126" s="95" t="s">
        <v>32</v>
      </c>
      <c r="I126" s="288">
        <v>340</v>
      </c>
      <c r="J126" s="288">
        <v>60</v>
      </c>
      <c r="K126" s="288">
        <v>110</v>
      </c>
      <c r="L126" s="288">
        <v>140</v>
      </c>
      <c r="M126" s="288">
        <v>150</v>
      </c>
      <c r="N126" s="145">
        <f t="shared" si="18"/>
        <v>800</v>
      </c>
      <c r="O126" s="319">
        <v>781.5</v>
      </c>
      <c r="P126" s="95" t="s">
        <v>417</v>
      </c>
      <c r="Q126" s="101">
        <v>46162</v>
      </c>
      <c r="R126" s="295"/>
    </row>
    <row r="127" spans="1:18" customFormat="1" ht="32.25" customHeight="1" x14ac:dyDescent="0.2">
      <c r="A127" s="245" t="s">
        <v>1723</v>
      </c>
      <c r="B127" s="229" t="s">
        <v>883</v>
      </c>
      <c r="C127" s="95" t="s">
        <v>1954</v>
      </c>
      <c r="D127" s="95" t="s">
        <v>26</v>
      </c>
      <c r="E127" s="95" t="s">
        <v>1756</v>
      </c>
      <c r="F127" s="95" t="s">
        <v>406</v>
      </c>
      <c r="G127" s="101"/>
      <c r="H127" s="95" t="s">
        <v>32</v>
      </c>
      <c r="I127" s="288">
        <v>110</v>
      </c>
      <c r="J127" s="288">
        <v>60</v>
      </c>
      <c r="K127" s="288">
        <v>40</v>
      </c>
      <c r="L127" s="288">
        <v>40</v>
      </c>
      <c r="M127" s="288"/>
      <c r="N127" s="145">
        <f t="shared" si="18"/>
        <v>250</v>
      </c>
      <c r="O127" s="319">
        <v>201.6</v>
      </c>
      <c r="P127" s="95" t="s">
        <v>417</v>
      </c>
      <c r="Q127" s="101">
        <v>46168</v>
      </c>
      <c r="R127" s="295"/>
    </row>
    <row r="128" spans="1:18" customFormat="1" ht="32.25" customHeight="1" x14ac:dyDescent="0.2">
      <c r="A128" s="245" t="s">
        <v>1723</v>
      </c>
      <c r="B128" s="229" t="s">
        <v>885</v>
      </c>
      <c r="C128" s="95" t="s">
        <v>1955</v>
      </c>
      <c r="D128" s="95" t="s">
        <v>26</v>
      </c>
      <c r="E128" s="95" t="s">
        <v>1756</v>
      </c>
      <c r="F128" s="95" t="s">
        <v>406</v>
      </c>
      <c r="G128" s="101"/>
      <c r="H128" s="95" t="s">
        <v>32</v>
      </c>
      <c r="I128" s="288">
        <v>110</v>
      </c>
      <c r="J128" s="288">
        <v>60</v>
      </c>
      <c r="K128" s="288">
        <v>40</v>
      </c>
      <c r="L128" s="288">
        <v>40</v>
      </c>
      <c r="M128" s="288"/>
      <c r="N128" s="145">
        <f t="shared" si="18"/>
        <v>250</v>
      </c>
      <c r="O128" s="319">
        <v>250</v>
      </c>
      <c r="P128" s="95" t="s">
        <v>417</v>
      </c>
      <c r="Q128" s="101">
        <v>46168</v>
      </c>
      <c r="R128" s="295"/>
    </row>
    <row r="129" spans="1:18" customFormat="1" ht="32.25" customHeight="1" x14ac:dyDescent="0.2">
      <c r="A129" s="245" t="s">
        <v>1723</v>
      </c>
      <c r="B129" s="229" t="s">
        <v>893</v>
      </c>
      <c r="C129" s="95" t="s">
        <v>1956</v>
      </c>
      <c r="D129" s="95" t="s">
        <v>26</v>
      </c>
      <c r="E129" s="95" t="s">
        <v>1756</v>
      </c>
      <c r="F129" s="95" t="s">
        <v>406</v>
      </c>
      <c r="G129" s="101"/>
      <c r="H129" s="95" t="s">
        <v>32</v>
      </c>
      <c r="I129" s="288">
        <v>110</v>
      </c>
      <c r="J129" s="288">
        <v>60</v>
      </c>
      <c r="K129" s="288">
        <v>40</v>
      </c>
      <c r="L129" s="288">
        <v>40</v>
      </c>
      <c r="M129" s="288"/>
      <c r="N129" s="145">
        <f t="shared" si="18"/>
        <v>250</v>
      </c>
      <c r="O129" s="319">
        <v>244.6</v>
      </c>
      <c r="P129" s="95" t="s">
        <v>417</v>
      </c>
      <c r="Q129" s="101">
        <v>46168</v>
      </c>
      <c r="R129" s="295"/>
    </row>
    <row r="130" spans="1:18" customFormat="1" ht="32.25" customHeight="1" x14ac:dyDescent="0.2">
      <c r="A130" s="245" t="s">
        <v>1723</v>
      </c>
      <c r="B130" s="229" t="s">
        <v>897</v>
      </c>
      <c r="C130" s="95" t="s">
        <v>1957</v>
      </c>
      <c r="D130" s="95" t="s">
        <v>26</v>
      </c>
      <c r="E130" s="95" t="s">
        <v>1756</v>
      </c>
      <c r="F130" s="95" t="s">
        <v>406</v>
      </c>
      <c r="G130" s="101"/>
      <c r="H130" s="95" t="s">
        <v>32</v>
      </c>
      <c r="I130" s="288">
        <v>173</v>
      </c>
      <c r="J130" s="288">
        <v>77</v>
      </c>
      <c r="K130" s="288"/>
      <c r="L130" s="288"/>
      <c r="M130" s="288"/>
      <c r="N130" s="145">
        <f t="shared" si="18"/>
        <v>250</v>
      </c>
      <c r="O130" s="319">
        <v>254.8</v>
      </c>
      <c r="P130" s="95" t="s">
        <v>520</v>
      </c>
      <c r="Q130" s="101">
        <v>46168</v>
      </c>
      <c r="R130" s="295"/>
    </row>
    <row r="131" spans="1:18" customFormat="1" ht="32.25" customHeight="1" x14ac:dyDescent="0.2">
      <c r="A131" s="246" t="s">
        <v>1958</v>
      </c>
      <c r="B131" s="229" t="s">
        <v>900</v>
      </c>
      <c r="C131" s="95" t="s">
        <v>1959</v>
      </c>
      <c r="D131" s="95" t="s">
        <v>26</v>
      </c>
      <c r="E131" s="95" t="s">
        <v>661</v>
      </c>
      <c r="F131" s="95" t="s">
        <v>406</v>
      </c>
      <c r="G131" s="101"/>
      <c r="H131" s="95" t="s">
        <v>32</v>
      </c>
      <c r="I131" s="288">
        <v>120</v>
      </c>
      <c r="J131" s="288">
        <v>40</v>
      </c>
      <c r="K131" s="288">
        <v>220</v>
      </c>
      <c r="L131" s="288">
        <v>40</v>
      </c>
      <c r="M131" s="288">
        <v>80</v>
      </c>
      <c r="N131" s="145">
        <f t="shared" si="18"/>
        <v>500</v>
      </c>
      <c r="O131" s="319">
        <f>N131+0.3</f>
        <v>500.3</v>
      </c>
      <c r="P131" s="95" t="s">
        <v>425</v>
      </c>
      <c r="Q131" s="101">
        <v>46168</v>
      </c>
      <c r="R131" s="295"/>
    </row>
    <row r="132" spans="1:18" customFormat="1" ht="39.75" customHeight="1" x14ac:dyDescent="0.2">
      <c r="A132" s="245" t="s">
        <v>1907</v>
      </c>
      <c r="B132" s="229" t="s">
        <v>903</v>
      </c>
      <c r="C132" s="95" t="s">
        <v>1960</v>
      </c>
      <c r="D132" s="95" t="s">
        <v>26</v>
      </c>
      <c r="E132" s="95" t="s">
        <v>661</v>
      </c>
      <c r="F132" s="95" t="s">
        <v>406</v>
      </c>
      <c r="G132" s="101"/>
      <c r="H132" s="95" t="s">
        <v>32</v>
      </c>
      <c r="I132" s="288">
        <v>120</v>
      </c>
      <c r="J132" s="288">
        <v>50</v>
      </c>
      <c r="K132" s="288">
        <v>220</v>
      </c>
      <c r="L132" s="288">
        <v>40</v>
      </c>
      <c r="M132" s="288"/>
      <c r="N132" s="145">
        <f t="shared" si="18"/>
        <v>430</v>
      </c>
      <c r="O132" s="319">
        <f>N132-1.5</f>
        <v>428.5</v>
      </c>
      <c r="P132" s="95" t="s">
        <v>425</v>
      </c>
      <c r="Q132" s="101">
        <v>46168</v>
      </c>
      <c r="R132" s="295"/>
    </row>
    <row r="133" spans="1:18" customFormat="1" ht="31.5" customHeight="1" x14ac:dyDescent="0.2">
      <c r="A133" s="245" t="s">
        <v>1961</v>
      </c>
      <c r="B133" s="229" t="s">
        <v>908</v>
      </c>
      <c r="C133" s="95" t="s">
        <v>1962</v>
      </c>
      <c r="D133" s="95" t="s">
        <v>26</v>
      </c>
      <c r="E133" s="95" t="s">
        <v>445</v>
      </c>
      <c r="F133" s="95" t="s">
        <v>406</v>
      </c>
      <c r="G133" s="101"/>
      <c r="H133" s="95" t="s">
        <v>30</v>
      </c>
      <c r="I133" s="288">
        <v>340</v>
      </c>
      <c r="J133" s="288">
        <v>60</v>
      </c>
      <c r="K133" s="288">
        <v>120</v>
      </c>
      <c r="L133" s="288">
        <v>80</v>
      </c>
      <c r="M133" s="288">
        <v>150</v>
      </c>
      <c r="N133" s="145">
        <f t="shared" si="18"/>
        <v>750</v>
      </c>
      <c r="O133" s="319">
        <f>N133-59</f>
        <v>691</v>
      </c>
      <c r="P133" s="95" t="s">
        <v>520</v>
      </c>
      <c r="Q133" s="101">
        <v>46177</v>
      </c>
      <c r="R133" s="295"/>
    </row>
    <row r="134" spans="1:18" customFormat="1" ht="44.25" customHeight="1" x14ac:dyDescent="0.2">
      <c r="A134" s="245" t="s">
        <v>1963</v>
      </c>
      <c r="B134" s="229" t="s">
        <v>910</v>
      </c>
      <c r="C134" s="95" t="s">
        <v>1964</v>
      </c>
      <c r="D134" s="95" t="s">
        <v>26</v>
      </c>
      <c r="E134" s="95" t="s">
        <v>710</v>
      </c>
      <c r="F134" s="95" t="s">
        <v>406</v>
      </c>
      <c r="G134" s="101"/>
      <c r="H134" s="95" t="s">
        <v>30</v>
      </c>
      <c r="I134" s="288"/>
      <c r="J134" s="288"/>
      <c r="K134" s="288"/>
      <c r="L134" s="288"/>
      <c r="M134" s="288">
        <v>120</v>
      </c>
      <c r="N134" s="145">
        <f t="shared" si="18"/>
        <v>120</v>
      </c>
      <c r="O134" s="319">
        <v>120</v>
      </c>
      <c r="P134" s="95" t="s">
        <v>520</v>
      </c>
      <c r="Q134" s="101">
        <v>46184</v>
      </c>
      <c r="R134" s="295"/>
    </row>
    <row r="135" spans="1:18" customFormat="1" ht="46.5" customHeight="1" x14ac:dyDescent="0.2">
      <c r="A135" s="245" t="s">
        <v>1968</v>
      </c>
      <c r="B135" s="229" t="s">
        <v>915</v>
      </c>
      <c r="C135" s="99" t="s">
        <v>1969</v>
      </c>
      <c r="D135" s="95" t="s">
        <v>26</v>
      </c>
      <c r="E135" s="95" t="s">
        <v>436</v>
      </c>
      <c r="F135" s="95" t="s">
        <v>406</v>
      </c>
      <c r="G135" s="101"/>
      <c r="H135" s="95" t="s">
        <v>30</v>
      </c>
      <c r="I135" s="288"/>
      <c r="J135" s="288">
        <f>10+20+12</f>
        <v>42</v>
      </c>
      <c r="K135" s="288"/>
      <c r="L135" s="288"/>
      <c r="M135" s="288"/>
      <c r="N135" s="145">
        <f t="shared" si="18"/>
        <v>42</v>
      </c>
      <c r="O135" s="319">
        <v>42</v>
      </c>
      <c r="P135" s="95" t="s">
        <v>1190</v>
      </c>
      <c r="Q135" s="101">
        <v>46184</v>
      </c>
      <c r="R135" s="295"/>
    </row>
    <row r="136" spans="1:18" s="43" customFormat="1" x14ac:dyDescent="0.2">
      <c r="A136" s="245" t="s">
        <v>1296</v>
      </c>
      <c r="B136" s="229" t="s">
        <v>916</v>
      </c>
      <c r="C136" s="95" t="s">
        <v>1966</v>
      </c>
      <c r="D136" s="95" t="s">
        <v>26</v>
      </c>
      <c r="E136" s="95"/>
      <c r="F136" s="95" t="s">
        <v>406</v>
      </c>
      <c r="G136" s="101"/>
      <c r="H136" s="95" t="s">
        <v>30</v>
      </c>
      <c r="I136" s="288"/>
      <c r="J136" s="288">
        <f>13+36+36</f>
        <v>85</v>
      </c>
      <c r="K136" s="288"/>
      <c r="L136" s="288"/>
      <c r="M136" s="288"/>
      <c r="N136" s="145">
        <f t="shared" ref="N136" si="19">SUM(I136:M136)</f>
        <v>85</v>
      </c>
      <c r="O136" s="319">
        <v>85</v>
      </c>
      <c r="P136" s="95" t="s">
        <v>1190</v>
      </c>
      <c r="Q136" s="101">
        <v>46190</v>
      </c>
      <c r="R136" s="317"/>
    </row>
    <row r="137" spans="1:18" customFormat="1" x14ac:dyDescent="0.2">
      <c r="A137" s="245" t="s">
        <v>1872</v>
      </c>
      <c r="B137" s="229" t="s">
        <v>918</v>
      </c>
      <c r="C137" s="95" t="s">
        <v>1965</v>
      </c>
      <c r="D137" s="95" t="s">
        <v>26</v>
      </c>
      <c r="E137" s="95"/>
      <c r="F137" s="95" t="s">
        <v>406</v>
      </c>
      <c r="G137" s="101"/>
      <c r="H137" s="95" t="s">
        <v>30</v>
      </c>
      <c r="I137" s="288"/>
      <c r="J137" s="288">
        <f>72.5+24.5</f>
        <v>97</v>
      </c>
      <c r="K137" s="288"/>
      <c r="L137" s="288"/>
      <c r="M137" s="288"/>
      <c r="N137" s="145">
        <f t="shared" si="18"/>
        <v>97</v>
      </c>
      <c r="O137" s="319">
        <v>97</v>
      </c>
      <c r="P137" s="95" t="s">
        <v>1190</v>
      </c>
      <c r="Q137" s="101">
        <v>46184</v>
      </c>
      <c r="R137" s="295"/>
    </row>
    <row r="138" spans="1:18" customFormat="1" x14ac:dyDescent="0.2">
      <c r="A138" s="245" t="s">
        <v>656</v>
      </c>
      <c r="B138" s="229" t="s">
        <v>919</v>
      </c>
      <c r="C138" s="95" t="s">
        <v>1967</v>
      </c>
      <c r="D138" s="95" t="s">
        <v>26</v>
      </c>
      <c r="E138" s="95"/>
      <c r="F138" s="95" t="s">
        <v>406</v>
      </c>
      <c r="G138" s="101"/>
      <c r="H138" s="95" t="s">
        <v>30</v>
      </c>
      <c r="I138" s="288"/>
      <c r="J138" s="288">
        <f>79</f>
        <v>79</v>
      </c>
      <c r="K138" s="288"/>
      <c r="L138" s="288">
        <v>37</v>
      </c>
      <c r="M138" s="288"/>
      <c r="N138" s="145">
        <f t="shared" ref="N138:N144" si="20">SUM(I138:M138)</f>
        <v>116</v>
      </c>
      <c r="O138" s="319">
        <v>116</v>
      </c>
      <c r="P138" s="95" t="s">
        <v>489</v>
      </c>
      <c r="Q138" s="101">
        <v>46184</v>
      </c>
      <c r="R138" s="295"/>
    </row>
    <row r="139" spans="1:18" customFormat="1" ht="79.5" customHeight="1" x14ac:dyDescent="0.2">
      <c r="A139" s="245" t="s">
        <v>1968</v>
      </c>
      <c r="B139" s="229" t="s">
        <v>932</v>
      </c>
      <c r="C139" s="99" t="s">
        <v>1970</v>
      </c>
      <c r="D139" s="95" t="s">
        <v>26</v>
      </c>
      <c r="E139" s="95"/>
      <c r="F139" s="95" t="s">
        <v>406</v>
      </c>
      <c r="G139" s="101"/>
      <c r="H139" s="95" t="s">
        <v>30</v>
      </c>
      <c r="I139" s="288"/>
      <c r="J139" s="288">
        <f>8+5+8</f>
        <v>21</v>
      </c>
      <c r="K139" s="288"/>
      <c r="L139" s="288"/>
      <c r="M139" s="288"/>
      <c r="N139" s="145">
        <f t="shared" si="20"/>
        <v>21</v>
      </c>
      <c r="O139" s="319">
        <v>21</v>
      </c>
      <c r="P139" s="95" t="s">
        <v>489</v>
      </c>
      <c r="Q139" s="101">
        <v>46184</v>
      </c>
      <c r="R139" s="295"/>
    </row>
    <row r="140" spans="1:18" customFormat="1" ht="43.5" customHeight="1" x14ac:dyDescent="0.2">
      <c r="A140" s="245" t="s">
        <v>1971</v>
      </c>
      <c r="B140" s="229" t="s">
        <v>933</v>
      </c>
      <c r="C140" s="99" t="s">
        <v>1972</v>
      </c>
      <c r="D140" s="95" t="s">
        <v>26</v>
      </c>
      <c r="E140" s="95"/>
      <c r="F140" s="95" t="s">
        <v>406</v>
      </c>
      <c r="G140" s="101"/>
      <c r="H140" s="95" t="s">
        <v>30</v>
      </c>
      <c r="I140" s="288"/>
      <c r="J140" s="288">
        <v>75</v>
      </c>
      <c r="K140" s="288"/>
      <c r="L140" s="288"/>
      <c r="M140" s="288"/>
      <c r="N140" s="145">
        <f t="shared" si="20"/>
        <v>75</v>
      </c>
      <c r="O140" s="319">
        <v>75</v>
      </c>
      <c r="P140" s="95" t="s">
        <v>948</v>
      </c>
      <c r="Q140" s="101">
        <v>46192</v>
      </c>
      <c r="R140" s="295"/>
    </row>
    <row r="141" spans="1:18" customFormat="1" ht="44.25" customHeight="1" x14ac:dyDescent="0.2">
      <c r="A141" s="245" t="s">
        <v>1963</v>
      </c>
      <c r="B141" s="229" t="s">
        <v>938</v>
      </c>
      <c r="C141" s="95" t="s">
        <v>1973</v>
      </c>
      <c r="D141" s="95" t="s">
        <v>26</v>
      </c>
      <c r="E141" s="95" t="s">
        <v>710</v>
      </c>
      <c r="F141" s="95" t="s">
        <v>406</v>
      </c>
      <c r="G141" s="101"/>
      <c r="H141" s="95" t="s">
        <v>30</v>
      </c>
      <c r="I141" s="288"/>
      <c r="J141" s="288"/>
      <c r="K141" s="288">
        <v>40</v>
      </c>
      <c r="L141" s="288"/>
      <c r="M141" s="288">
        <v>200</v>
      </c>
      <c r="N141" s="145">
        <f t="shared" si="20"/>
        <v>240</v>
      </c>
      <c r="O141" s="319">
        <v>240</v>
      </c>
      <c r="P141" s="95" t="s">
        <v>520</v>
      </c>
      <c r="Q141" s="101">
        <v>46192</v>
      </c>
      <c r="R141" s="295"/>
    </row>
    <row r="142" spans="1:18" customFormat="1" x14ac:dyDescent="0.2">
      <c r="A142" s="245" t="s">
        <v>443</v>
      </c>
      <c r="B142" s="229" t="s">
        <v>943</v>
      </c>
      <c r="C142" s="95" t="s">
        <v>1974</v>
      </c>
      <c r="D142" s="95" t="s">
        <v>26</v>
      </c>
      <c r="E142" s="95" t="s">
        <v>445</v>
      </c>
      <c r="F142" s="95" t="s">
        <v>406</v>
      </c>
      <c r="G142" s="101"/>
      <c r="H142" s="95" t="s">
        <v>30</v>
      </c>
      <c r="I142" s="288">
        <f>85*4</f>
        <v>340</v>
      </c>
      <c r="J142" s="288">
        <v>60</v>
      </c>
      <c r="K142" s="288">
        <v>120</v>
      </c>
      <c r="L142" s="288">
        <f>40*2</f>
        <v>80</v>
      </c>
      <c r="M142" s="288"/>
      <c r="N142" s="145">
        <f t="shared" si="20"/>
        <v>600</v>
      </c>
      <c r="O142" s="319">
        <f>N142-94</f>
        <v>506</v>
      </c>
      <c r="P142" s="95" t="s">
        <v>520</v>
      </c>
      <c r="Q142" s="101">
        <v>46192</v>
      </c>
      <c r="R142" s="295"/>
    </row>
    <row r="143" spans="1:18" customFormat="1" x14ac:dyDescent="0.2">
      <c r="A143" s="246" t="s">
        <v>1976</v>
      </c>
      <c r="B143" s="229" t="s">
        <v>944</v>
      </c>
      <c r="C143" s="95" t="s">
        <v>1975</v>
      </c>
      <c r="D143" s="95" t="s">
        <v>26</v>
      </c>
      <c r="E143" s="95" t="s">
        <v>449</v>
      </c>
      <c r="F143" s="95" t="s">
        <v>406</v>
      </c>
      <c r="G143" s="101"/>
      <c r="H143" s="95" t="s">
        <v>30</v>
      </c>
      <c r="I143" s="288"/>
      <c r="J143" s="288">
        <v>100</v>
      </c>
      <c r="K143" s="288">
        <v>50</v>
      </c>
      <c r="L143" s="288"/>
      <c r="M143" s="288"/>
      <c r="N143" s="145">
        <f t="shared" si="20"/>
        <v>150</v>
      </c>
      <c r="O143" s="319">
        <f>N143-2.8</f>
        <v>147.19999999999999</v>
      </c>
      <c r="P143" s="95" t="s">
        <v>466</v>
      </c>
      <c r="Q143" s="101">
        <v>46192</v>
      </c>
      <c r="R143" s="295"/>
    </row>
    <row r="144" spans="1:18" customFormat="1" ht="33" customHeight="1" x14ac:dyDescent="0.2">
      <c r="A144" s="246" t="s">
        <v>1977</v>
      </c>
      <c r="B144" s="229" t="s">
        <v>945</v>
      </c>
      <c r="C144" s="95" t="s">
        <v>1978</v>
      </c>
      <c r="D144" s="95" t="s">
        <v>39</v>
      </c>
      <c r="E144" s="95" t="s">
        <v>1979</v>
      </c>
      <c r="F144" s="95" t="s">
        <v>406</v>
      </c>
      <c r="G144" s="101"/>
      <c r="H144" s="95" t="s">
        <v>30</v>
      </c>
      <c r="I144" s="288">
        <v>100</v>
      </c>
      <c r="J144" s="288">
        <v>100</v>
      </c>
      <c r="K144" s="288"/>
      <c r="L144" s="288">
        <v>40</v>
      </c>
      <c r="M144" s="288"/>
      <c r="N144" s="145">
        <f t="shared" si="20"/>
        <v>240</v>
      </c>
      <c r="O144" s="319">
        <f>N144-10</f>
        <v>230</v>
      </c>
      <c r="P144" s="95" t="s">
        <v>948</v>
      </c>
      <c r="Q144" s="101">
        <v>46196</v>
      </c>
      <c r="R144" s="295"/>
    </row>
    <row r="145" spans="1:19" ht="24" customHeight="1" x14ac:dyDescent="0.2">
      <c r="A145" s="246" t="s">
        <v>443</v>
      </c>
      <c r="B145" s="229" t="s">
        <v>946</v>
      </c>
      <c r="C145" s="95" t="s">
        <v>1980</v>
      </c>
      <c r="D145" s="95" t="s">
        <v>26</v>
      </c>
      <c r="E145" s="95" t="s">
        <v>445</v>
      </c>
      <c r="F145" s="95" t="s">
        <v>406</v>
      </c>
      <c r="G145" s="101"/>
      <c r="H145" s="95" t="s">
        <v>30</v>
      </c>
      <c r="I145" s="288">
        <f>85*4</f>
        <v>340</v>
      </c>
      <c r="J145" s="288">
        <v>60</v>
      </c>
      <c r="K145" s="288">
        <v>120</v>
      </c>
      <c r="L145" s="288">
        <f>40*2</f>
        <v>80</v>
      </c>
      <c r="M145" s="288"/>
      <c r="N145" s="145">
        <f t="shared" ref="N145:N151" si="21">SUM(I145:M145)</f>
        <v>600</v>
      </c>
      <c r="O145" s="319">
        <f>N145-83</f>
        <v>517</v>
      </c>
      <c r="P145" s="95" t="s">
        <v>520</v>
      </c>
      <c r="Q145" s="101">
        <v>46205</v>
      </c>
      <c r="R145" s="295"/>
      <c r="S145"/>
    </row>
    <row r="146" spans="1:19" s="43" customFormat="1" ht="15.75" customHeight="1" x14ac:dyDescent="0.2">
      <c r="A146" s="245" t="s">
        <v>1942</v>
      </c>
      <c r="B146" s="229" t="s">
        <v>956</v>
      </c>
      <c r="C146" s="95" t="s">
        <v>1985</v>
      </c>
      <c r="D146" s="95" t="s">
        <v>26</v>
      </c>
      <c r="E146" s="95" t="s">
        <v>661</v>
      </c>
      <c r="F146" s="95" t="s">
        <v>406</v>
      </c>
      <c r="G146" s="101"/>
      <c r="H146" s="95" t="s">
        <v>30</v>
      </c>
      <c r="I146" s="288">
        <v>120</v>
      </c>
      <c r="J146" s="288">
        <v>40</v>
      </c>
      <c r="K146" s="288">
        <v>220</v>
      </c>
      <c r="L146" s="288">
        <v>40</v>
      </c>
      <c r="M146" s="288">
        <v>80</v>
      </c>
      <c r="N146" s="145">
        <f t="shared" si="21"/>
        <v>500</v>
      </c>
      <c r="O146" s="319">
        <f>N146-100</f>
        <v>400</v>
      </c>
      <c r="P146" s="95" t="s">
        <v>417</v>
      </c>
      <c r="Q146" s="101">
        <v>46205</v>
      </c>
      <c r="R146" s="317"/>
    </row>
    <row r="147" spans="1:19" ht="15.75" customHeight="1" x14ac:dyDescent="0.2">
      <c r="A147" s="245" t="s">
        <v>1723</v>
      </c>
      <c r="B147" s="229" t="s">
        <v>967</v>
      </c>
      <c r="C147" s="95" t="s">
        <v>1981</v>
      </c>
      <c r="D147" s="95" t="s">
        <v>26</v>
      </c>
      <c r="E147" s="95" t="s">
        <v>449</v>
      </c>
      <c r="F147" s="95" t="s">
        <v>406</v>
      </c>
      <c r="G147" s="101"/>
      <c r="H147" s="95" t="s">
        <v>30</v>
      </c>
      <c r="I147" s="288"/>
      <c r="J147" s="288">
        <f>72+24</f>
        <v>96</v>
      </c>
      <c r="K147" s="288">
        <v>20</v>
      </c>
      <c r="L147" s="288"/>
      <c r="M147" s="288"/>
      <c r="N147" s="145">
        <f t="shared" si="21"/>
        <v>116</v>
      </c>
      <c r="O147" s="319">
        <f>N147</f>
        <v>116</v>
      </c>
      <c r="P147" s="95" t="s">
        <v>489</v>
      </c>
      <c r="Q147" s="101">
        <v>46205</v>
      </c>
      <c r="R147" s="295"/>
      <c r="S147"/>
    </row>
    <row r="148" spans="1:19" ht="15.75" customHeight="1" x14ac:dyDescent="0.2">
      <c r="A148" s="245" t="s">
        <v>1248</v>
      </c>
      <c r="B148" s="229" t="s">
        <v>968</v>
      </c>
      <c r="C148" s="95" t="s">
        <v>1982</v>
      </c>
      <c r="D148" s="95" t="s">
        <v>383</v>
      </c>
      <c r="E148" s="95" t="s">
        <v>1837</v>
      </c>
      <c r="F148" s="95" t="s">
        <v>406</v>
      </c>
      <c r="G148" s="101"/>
      <c r="H148" s="95" t="s">
        <v>30</v>
      </c>
      <c r="I148" s="288"/>
      <c r="J148" s="288">
        <v>65</v>
      </c>
      <c r="K148" s="288"/>
      <c r="L148" s="288">
        <v>25</v>
      </c>
      <c r="M148" s="288"/>
      <c r="N148" s="145">
        <f t="shared" si="21"/>
        <v>90</v>
      </c>
      <c r="O148" s="319">
        <f>N148</f>
        <v>90</v>
      </c>
      <c r="P148" s="95" t="s">
        <v>417</v>
      </c>
      <c r="Q148" s="101">
        <v>46206</v>
      </c>
      <c r="R148" s="295"/>
      <c r="S148"/>
    </row>
    <row r="149" spans="1:19" ht="33.75" customHeight="1" x14ac:dyDescent="0.2">
      <c r="A149" s="246" t="s">
        <v>1984</v>
      </c>
      <c r="B149" s="229" t="s">
        <v>969</v>
      </c>
      <c r="C149" s="99" t="s">
        <v>1983</v>
      </c>
      <c r="D149" s="95" t="s">
        <v>26</v>
      </c>
      <c r="E149" s="95" t="s">
        <v>1756</v>
      </c>
      <c r="F149" s="95" t="s">
        <v>406</v>
      </c>
      <c r="G149" s="101"/>
      <c r="H149" s="95" t="s">
        <v>30</v>
      </c>
      <c r="I149" s="288"/>
      <c r="J149" s="288">
        <f>50+54</f>
        <v>104</v>
      </c>
      <c r="K149" s="288"/>
      <c r="L149" s="288"/>
      <c r="M149" s="288"/>
      <c r="N149" s="145">
        <f t="shared" si="21"/>
        <v>104</v>
      </c>
      <c r="O149" s="319">
        <f>N149</f>
        <v>104</v>
      </c>
      <c r="P149" s="95" t="s">
        <v>948</v>
      </c>
      <c r="Q149" s="101">
        <v>46206</v>
      </c>
      <c r="R149" s="295"/>
      <c r="S149"/>
    </row>
    <row r="150" spans="1:19" ht="35.25" customHeight="1" x14ac:dyDescent="0.2">
      <c r="A150" s="245" t="s">
        <v>1942</v>
      </c>
      <c r="B150" s="229" t="s">
        <v>970</v>
      </c>
      <c r="C150" s="95" t="s">
        <v>1985</v>
      </c>
      <c r="D150" s="95" t="s">
        <v>26</v>
      </c>
      <c r="E150" s="95" t="s">
        <v>661</v>
      </c>
      <c r="F150" s="95" t="s">
        <v>406</v>
      </c>
      <c r="G150" s="101"/>
      <c r="H150" s="95" t="s">
        <v>30</v>
      </c>
      <c r="I150" s="288"/>
      <c r="J150" s="288">
        <v>30</v>
      </c>
      <c r="K150" s="288"/>
      <c r="L150" s="288"/>
      <c r="M150" s="288">
        <v>100</v>
      </c>
      <c r="N150" s="145">
        <f t="shared" si="21"/>
        <v>130</v>
      </c>
      <c r="O150" s="319">
        <f>N150-4</f>
        <v>126</v>
      </c>
      <c r="P150" s="95" t="s">
        <v>520</v>
      </c>
      <c r="Q150" s="101">
        <v>46206</v>
      </c>
      <c r="R150" s="295"/>
      <c r="S150"/>
    </row>
    <row r="151" spans="1:19" ht="15.75" customHeight="1" x14ac:dyDescent="0.2">
      <c r="A151" s="245" t="s">
        <v>1987</v>
      </c>
      <c r="B151" s="229" t="s">
        <v>984</v>
      </c>
      <c r="C151" s="95" t="s">
        <v>1986</v>
      </c>
      <c r="D151" s="95" t="s">
        <v>26</v>
      </c>
      <c r="E151" s="95" t="s">
        <v>445</v>
      </c>
      <c r="F151" s="95" t="s">
        <v>406</v>
      </c>
      <c r="G151" s="101"/>
      <c r="H151" s="95" t="s">
        <v>30</v>
      </c>
      <c r="I151" s="288">
        <v>170</v>
      </c>
      <c r="J151" s="288">
        <v>50</v>
      </c>
      <c r="K151" s="288">
        <v>80</v>
      </c>
      <c r="L151" s="288">
        <v>40</v>
      </c>
      <c r="M151" s="288"/>
      <c r="N151" s="145">
        <f t="shared" si="21"/>
        <v>340</v>
      </c>
      <c r="O151" s="319">
        <f>N151-2</f>
        <v>338</v>
      </c>
      <c r="P151" s="95" t="s">
        <v>520</v>
      </c>
      <c r="Q151" s="101">
        <v>46206</v>
      </c>
      <c r="R151" s="295"/>
      <c r="S151"/>
    </row>
    <row r="152" spans="1:19" ht="25.5" customHeight="1" x14ac:dyDescent="0.2">
      <c r="A152" s="246" t="s">
        <v>443</v>
      </c>
      <c r="B152" s="229" t="s">
        <v>985</v>
      </c>
      <c r="C152" s="95" t="s">
        <v>1988</v>
      </c>
      <c r="D152" s="95" t="s">
        <v>26</v>
      </c>
      <c r="E152" s="95" t="s">
        <v>445</v>
      </c>
      <c r="F152" s="95" t="s">
        <v>406</v>
      </c>
      <c r="G152" s="101"/>
      <c r="H152" s="95" t="s">
        <v>30</v>
      </c>
      <c r="I152" s="288">
        <f>85*4</f>
        <v>340</v>
      </c>
      <c r="J152" s="288">
        <v>60</v>
      </c>
      <c r="K152" s="288">
        <v>120</v>
      </c>
      <c r="L152" s="288">
        <f>40*2</f>
        <v>80</v>
      </c>
      <c r="M152" s="288"/>
      <c r="N152" s="145">
        <f t="shared" ref="N152:N153" si="22">SUM(I152:M152)</f>
        <v>600</v>
      </c>
      <c r="O152" s="319">
        <f>N152-24</f>
        <v>576</v>
      </c>
      <c r="P152" s="95" t="s">
        <v>417</v>
      </c>
      <c r="Q152" s="101">
        <v>46206</v>
      </c>
      <c r="R152" s="295"/>
      <c r="S152"/>
    </row>
    <row r="153" spans="1:19" ht="15.75" customHeight="1" x14ac:dyDescent="0.2">
      <c r="A153" s="245" t="s">
        <v>1987</v>
      </c>
      <c r="B153" s="229" t="s">
        <v>986</v>
      </c>
      <c r="C153" s="95" t="s">
        <v>1989</v>
      </c>
      <c r="D153" s="95" t="s">
        <v>26</v>
      </c>
      <c r="E153" s="95" t="s">
        <v>445</v>
      </c>
      <c r="F153" s="95" t="s">
        <v>406</v>
      </c>
      <c r="G153" s="101"/>
      <c r="H153" s="95" t="s">
        <v>30</v>
      </c>
      <c r="I153" s="288">
        <v>170</v>
      </c>
      <c r="J153" s="288">
        <v>50</v>
      </c>
      <c r="K153" s="288">
        <v>80</v>
      </c>
      <c r="L153" s="288">
        <v>40</v>
      </c>
      <c r="M153" s="288"/>
      <c r="N153" s="145">
        <f t="shared" si="22"/>
        <v>340</v>
      </c>
      <c r="O153" s="319">
        <f>N153-4</f>
        <v>336</v>
      </c>
      <c r="P153" s="95" t="s">
        <v>520</v>
      </c>
      <c r="Q153" s="101">
        <v>46206</v>
      </c>
      <c r="R153" s="295"/>
      <c r="S153"/>
    </row>
    <row r="154" spans="1:19" ht="33" customHeight="1" x14ac:dyDescent="0.2">
      <c r="A154" s="245" t="s">
        <v>1990</v>
      </c>
      <c r="B154" s="229" t="s">
        <v>987</v>
      </c>
      <c r="C154" s="99" t="s">
        <v>1991</v>
      </c>
      <c r="D154" s="95" t="s">
        <v>26</v>
      </c>
      <c r="E154" s="95" t="s">
        <v>445</v>
      </c>
      <c r="F154" s="95" t="s">
        <v>406</v>
      </c>
      <c r="G154" s="101"/>
      <c r="H154" s="95" t="s">
        <v>30</v>
      </c>
      <c r="I154" s="288"/>
      <c r="J154" s="288">
        <v>40</v>
      </c>
      <c r="K154" s="288">
        <v>190</v>
      </c>
      <c r="L154" s="288">
        <v>40</v>
      </c>
      <c r="M154" s="288">
        <v>175</v>
      </c>
      <c r="N154" s="145">
        <f>SUM(I154:M154)</f>
        <v>445</v>
      </c>
      <c r="O154" s="319">
        <f>N154-27</f>
        <v>418</v>
      </c>
      <c r="P154" s="95" t="s">
        <v>520</v>
      </c>
      <c r="Q154" s="101">
        <v>46206</v>
      </c>
      <c r="R154" s="295"/>
      <c r="S154"/>
    </row>
    <row r="155" spans="1:19" ht="15.75" customHeight="1" x14ac:dyDescent="0.2">
      <c r="A155" s="245" t="s">
        <v>1990</v>
      </c>
      <c r="B155" s="229" t="s">
        <v>999</v>
      </c>
      <c r="C155" s="95" t="s">
        <v>1992</v>
      </c>
      <c r="D155" s="95" t="s">
        <v>26</v>
      </c>
      <c r="E155" s="95" t="s">
        <v>445</v>
      </c>
      <c r="F155" s="95" t="s">
        <v>406</v>
      </c>
      <c r="G155" s="101"/>
      <c r="H155" s="95" t="s">
        <v>30</v>
      </c>
      <c r="I155" s="288">
        <v>160</v>
      </c>
      <c r="J155" s="288">
        <v>60</v>
      </c>
      <c r="K155" s="288">
        <v>40</v>
      </c>
      <c r="L155" s="288">
        <v>40</v>
      </c>
      <c r="M155" s="288"/>
      <c r="N155" s="145">
        <f>SUM(I155:M155)</f>
        <v>300</v>
      </c>
      <c r="O155" s="319">
        <f>N155</f>
        <v>300</v>
      </c>
      <c r="P155" s="95" t="s">
        <v>466</v>
      </c>
      <c r="Q155" s="101">
        <v>46216</v>
      </c>
      <c r="R155" s="295"/>
      <c r="S155"/>
    </row>
    <row r="156" spans="1:19" ht="15.75" customHeight="1" x14ac:dyDescent="0.2">
      <c r="A156" s="246" t="s">
        <v>443</v>
      </c>
      <c r="B156" s="229" t="s">
        <v>1000</v>
      </c>
      <c r="C156" s="95" t="s">
        <v>1993</v>
      </c>
      <c r="D156" s="95" t="s">
        <v>26</v>
      </c>
      <c r="E156" s="95" t="s">
        <v>445</v>
      </c>
      <c r="F156" s="95" t="s">
        <v>406</v>
      </c>
      <c r="G156" s="101"/>
      <c r="H156" s="95" t="s">
        <v>30</v>
      </c>
      <c r="I156" s="288">
        <v>360</v>
      </c>
      <c r="J156" s="288">
        <v>80</v>
      </c>
      <c r="K156" s="288">
        <v>130</v>
      </c>
      <c r="L156" s="288">
        <f>40*2</f>
        <v>80</v>
      </c>
      <c r="M156" s="288"/>
      <c r="N156" s="145">
        <f t="shared" ref="N156:N157" si="23">SUM(I156:M156)</f>
        <v>650</v>
      </c>
      <c r="O156" s="319">
        <f>N156-0.5</f>
        <v>649.5</v>
      </c>
      <c r="P156" s="95" t="s">
        <v>417</v>
      </c>
      <c r="Q156" s="101">
        <v>46217</v>
      </c>
      <c r="R156" s="295"/>
      <c r="S156"/>
    </row>
    <row r="157" spans="1:19" ht="15.75" customHeight="1" x14ac:dyDescent="0.2">
      <c r="A157" s="245" t="s">
        <v>1987</v>
      </c>
      <c r="B157" s="229" t="s">
        <v>1001</v>
      </c>
      <c r="C157" s="95" t="s">
        <v>1994</v>
      </c>
      <c r="D157" s="95" t="s">
        <v>26</v>
      </c>
      <c r="E157" s="95" t="s">
        <v>445</v>
      </c>
      <c r="F157" s="95" t="s">
        <v>406</v>
      </c>
      <c r="G157" s="101"/>
      <c r="H157" s="95" t="s">
        <v>30</v>
      </c>
      <c r="I157" s="288"/>
      <c r="J157" s="288">
        <v>90</v>
      </c>
      <c r="K157" s="288">
        <v>170</v>
      </c>
      <c r="L157" s="288">
        <v>80</v>
      </c>
      <c r="M157" s="288">
        <v>160</v>
      </c>
      <c r="N157" s="145">
        <f t="shared" si="23"/>
        <v>500</v>
      </c>
      <c r="O157" s="319">
        <f>N157-1</f>
        <v>499</v>
      </c>
      <c r="P157" s="95" t="s">
        <v>520</v>
      </c>
      <c r="Q157" s="101">
        <v>46217</v>
      </c>
      <c r="R157" s="295"/>
      <c r="S157"/>
    </row>
    <row r="158" spans="1:19" ht="33.75" customHeight="1" x14ac:dyDescent="0.2">
      <c r="A158" s="246" t="s">
        <v>601</v>
      </c>
      <c r="B158" s="229" t="s">
        <v>1018</v>
      </c>
      <c r="C158" s="95" t="s">
        <v>1995</v>
      </c>
      <c r="D158" s="95" t="s">
        <v>26</v>
      </c>
      <c r="E158" s="95" t="s">
        <v>445</v>
      </c>
      <c r="F158" s="95" t="s">
        <v>406</v>
      </c>
      <c r="G158" s="101"/>
      <c r="H158" s="95" t="s">
        <v>30</v>
      </c>
      <c r="I158" s="288">
        <v>160</v>
      </c>
      <c r="J158" s="288">
        <v>70</v>
      </c>
      <c r="K158" s="288">
        <v>150</v>
      </c>
      <c r="L158" s="288">
        <v>80</v>
      </c>
      <c r="M158" s="288">
        <v>140</v>
      </c>
      <c r="N158" s="145">
        <f>SUM(I158:M158)</f>
        <v>600</v>
      </c>
      <c r="O158" s="319">
        <f>N158+15</f>
        <v>615</v>
      </c>
      <c r="P158" s="95" t="s">
        <v>520</v>
      </c>
      <c r="Q158" s="101">
        <v>46217</v>
      </c>
      <c r="R158" s="295"/>
      <c r="S158"/>
    </row>
    <row r="159" spans="1:19" ht="33" customHeight="1" x14ac:dyDescent="0.2">
      <c r="A159" s="245" t="s">
        <v>1971</v>
      </c>
      <c r="B159" s="229" t="s">
        <v>1019</v>
      </c>
      <c r="C159" s="95" t="s">
        <v>1996</v>
      </c>
      <c r="D159" s="95" t="s">
        <v>26</v>
      </c>
      <c r="E159" s="95" t="s">
        <v>449</v>
      </c>
      <c r="F159" s="95" t="s">
        <v>406</v>
      </c>
      <c r="G159" s="101"/>
      <c r="H159" s="95" t="s">
        <v>30</v>
      </c>
      <c r="I159" s="288">
        <v>180</v>
      </c>
      <c r="J159" s="288">
        <v>90</v>
      </c>
      <c r="K159" s="288">
        <v>20</v>
      </c>
      <c r="L159" s="288"/>
      <c r="M159" s="288"/>
      <c r="N159" s="145">
        <f>SUM(I159:M159)</f>
        <v>290</v>
      </c>
      <c r="O159" s="319">
        <f>N159-2.75</f>
        <v>287.25</v>
      </c>
      <c r="P159" s="95" t="s">
        <v>520</v>
      </c>
      <c r="Q159" s="101">
        <v>46224</v>
      </c>
      <c r="R159" s="333" t="s">
        <v>2020</v>
      </c>
      <c r="S159" s="199" t="s">
        <v>2025</v>
      </c>
    </row>
    <row r="160" spans="1:19" ht="15.75" customHeight="1" x14ac:dyDescent="0.2">
      <c r="A160" s="245" t="s">
        <v>1987</v>
      </c>
      <c r="B160" s="229" t="s">
        <v>1020</v>
      </c>
      <c r="C160" s="95" t="s">
        <v>1997</v>
      </c>
      <c r="D160" s="95" t="s">
        <v>26</v>
      </c>
      <c r="E160" s="95" t="s">
        <v>445</v>
      </c>
      <c r="F160" s="95" t="s">
        <v>406</v>
      </c>
      <c r="G160" s="101"/>
      <c r="H160" s="95" t="s">
        <v>40</v>
      </c>
      <c r="I160" s="288"/>
      <c r="J160" s="288">
        <v>90</v>
      </c>
      <c r="K160" s="288">
        <v>170</v>
      </c>
      <c r="L160" s="288">
        <v>80</v>
      </c>
      <c r="M160" s="288">
        <v>160</v>
      </c>
      <c r="N160" s="145">
        <f t="shared" ref="N160" si="24">SUM(I160:M160)</f>
        <v>500</v>
      </c>
      <c r="O160" s="319">
        <f>N160-3.8</f>
        <v>496.2</v>
      </c>
      <c r="P160" s="95" t="s">
        <v>417</v>
      </c>
      <c r="Q160" s="101">
        <v>46224</v>
      </c>
      <c r="R160" s="295" t="s">
        <v>1799</v>
      </c>
    </row>
    <row r="161" spans="1:20" ht="30" customHeight="1" x14ac:dyDescent="0.2">
      <c r="A161" s="245" t="s">
        <v>1987</v>
      </c>
      <c r="B161" s="229" t="s">
        <v>1021</v>
      </c>
      <c r="C161" s="95" t="s">
        <v>1998</v>
      </c>
      <c r="D161" s="95" t="s">
        <v>26</v>
      </c>
      <c r="E161" s="95" t="s">
        <v>445</v>
      </c>
      <c r="F161" s="95" t="s">
        <v>406</v>
      </c>
      <c r="G161" s="101"/>
      <c r="H161" s="95" t="s">
        <v>40</v>
      </c>
      <c r="I161" s="288">
        <v>160</v>
      </c>
      <c r="J161" s="288">
        <v>70</v>
      </c>
      <c r="K161" s="288">
        <v>150</v>
      </c>
      <c r="L161" s="288">
        <v>80</v>
      </c>
      <c r="M161" s="288">
        <v>150</v>
      </c>
      <c r="N161" s="145">
        <f>SUM(I161:M161)</f>
        <v>610</v>
      </c>
      <c r="O161" s="319">
        <f>N161-3</f>
        <v>607</v>
      </c>
      <c r="P161" s="95" t="s">
        <v>520</v>
      </c>
      <c r="Q161" s="101">
        <v>46224</v>
      </c>
      <c r="R161" s="295" t="s">
        <v>2020</v>
      </c>
      <c r="S161" t="s">
        <v>2025</v>
      </c>
    </row>
    <row r="162" spans="1:20" ht="33.75" customHeight="1" x14ac:dyDescent="0.2">
      <c r="A162" s="376" t="s">
        <v>1631</v>
      </c>
      <c r="B162" s="377" t="s">
        <v>1029</v>
      </c>
      <c r="C162" s="378" t="s">
        <v>1999</v>
      </c>
      <c r="D162" s="378" t="s">
        <v>26</v>
      </c>
      <c r="E162" s="378" t="s">
        <v>445</v>
      </c>
      <c r="F162" s="378" t="s">
        <v>406</v>
      </c>
      <c r="G162" s="196"/>
      <c r="H162" s="378" t="s">
        <v>40</v>
      </c>
      <c r="I162" s="231">
        <v>180</v>
      </c>
      <c r="J162" s="231">
        <v>50</v>
      </c>
      <c r="K162" s="231">
        <v>80</v>
      </c>
      <c r="L162" s="231">
        <v>40</v>
      </c>
      <c r="M162" s="231"/>
      <c r="N162" s="379">
        <f t="shared" ref="N162:N169" si="25">SUM(I162:M162)</f>
        <v>350</v>
      </c>
      <c r="O162" s="380"/>
      <c r="P162" s="378" t="s">
        <v>425</v>
      </c>
      <c r="Q162" s="196">
        <v>46240</v>
      </c>
      <c r="R162" s="295" t="s">
        <v>2020</v>
      </c>
    </row>
    <row r="163" spans="1:20" ht="15.75" customHeight="1" x14ac:dyDescent="0.2">
      <c r="A163" s="245" t="s">
        <v>1891</v>
      </c>
      <c r="B163" s="229" t="s">
        <v>1030</v>
      </c>
      <c r="C163" s="95" t="s">
        <v>2000</v>
      </c>
      <c r="D163" s="95" t="s">
        <v>383</v>
      </c>
      <c r="E163" s="95" t="s">
        <v>445</v>
      </c>
      <c r="F163" s="95" t="s">
        <v>406</v>
      </c>
      <c r="G163" s="101" t="s">
        <v>2037</v>
      </c>
      <c r="H163" s="95" t="s">
        <v>40</v>
      </c>
      <c r="I163" s="288">
        <v>220</v>
      </c>
      <c r="J163" s="288">
        <v>60</v>
      </c>
      <c r="K163" s="288">
        <v>60</v>
      </c>
      <c r="L163" s="288">
        <v>320</v>
      </c>
      <c r="M163" s="288">
        <v>1120</v>
      </c>
      <c r="N163" s="145">
        <f t="shared" si="25"/>
        <v>1780</v>
      </c>
      <c r="O163" s="319">
        <f>N163-2.5</f>
        <v>1777.5</v>
      </c>
      <c r="P163" s="95" t="s">
        <v>417</v>
      </c>
      <c r="Q163" s="101">
        <v>46233</v>
      </c>
      <c r="R163" s="295"/>
      <c r="S163"/>
    </row>
    <row r="164" spans="1:20" ht="15.75" customHeight="1" x14ac:dyDescent="0.2">
      <c r="A164" s="245" t="s">
        <v>2002</v>
      </c>
      <c r="B164" s="229" t="s">
        <v>1031</v>
      </c>
      <c r="C164" s="95" t="s">
        <v>2001</v>
      </c>
      <c r="D164" s="95" t="s">
        <v>26</v>
      </c>
      <c r="E164" s="95" t="s">
        <v>445</v>
      </c>
      <c r="F164" s="95" t="s">
        <v>406</v>
      </c>
      <c r="G164" s="101"/>
      <c r="H164" s="95" t="s">
        <v>40</v>
      </c>
      <c r="I164" s="288">
        <v>180</v>
      </c>
      <c r="J164" s="288">
        <v>40</v>
      </c>
      <c r="K164" s="288">
        <v>120</v>
      </c>
      <c r="L164" s="288">
        <v>80</v>
      </c>
      <c r="M164" s="288">
        <v>80</v>
      </c>
      <c r="N164" s="145">
        <f t="shared" si="25"/>
        <v>500</v>
      </c>
      <c r="O164" s="319">
        <f>N164</f>
        <v>500</v>
      </c>
      <c r="P164" s="95" t="s">
        <v>489</v>
      </c>
      <c r="Q164" s="101">
        <v>46233</v>
      </c>
      <c r="R164" s="295" t="s">
        <v>2020</v>
      </c>
      <c r="S164" t="s">
        <v>2025</v>
      </c>
    </row>
    <row r="165" spans="1:20" ht="15.75" customHeight="1" x14ac:dyDescent="0.2">
      <c r="A165" s="245" t="s">
        <v>2002</v>
      </c>
      <c r="B165" s="229" t="s">
        <v>1040</v>
      </c>
      <c r="C165" s="95" t="s">
        <v>2003</v>
      </c>
      <c r="D165" s="95" t="s">
        <v>26</v>
      </c>
      <c r="E165" s="95" t="s">
        <v>445</v>
      </c>
      <c r="F165" s="95" t="s">
        <v>406</v>
      </c>
      <c r="G165" s="101"/>
      <c r="H165" s="95" t="s">
        <v>40</v>
      </c>
      <c r="I165" s="288">
        <v>180</v>
      </c>
      <c r="J165" s="288">
        <v>40</v>
      </c>
      <c r="K165" s="288">
        <v>120</v>
      </c>
      <c r="L165" s="288">
        <v>80</v>
      </c>
      <c r="M165" s="288">
        <v>80</v>
      </c>
      <c r="N165" s="145">
        <f t="shared" si="25"/>
        <v>500</v>
      </c>
      <c r="O165" s="319">
        <f>N165+2.3</f>
        <v>502.3</v>
      </c>
      <c r="P165" s="95" t="s">
        <v>520</v>
      </c>
      <c r="Q165" s="101">
        <v>46233</v>
      </c>
      <c r="R165" s="295" t="s">
        <v>2020</v>
      </c>
      <c r="S165" t="s">
        <v>2025</v>
      </c>
      <c r="T165" s="92" t="s">
        <v>2034</v>
      </c>
    </row>
    <row r="166" spans="1:20" ht="28.5" customHeight="1" x14ac:dyDescent="0.2">
      <c r="A166" s="245" t="s">
        <v>2004</v>
      </c>
      <c r="B166" s="229" t="s">
        <v>1041</v>
      </c>
      <c r="C166" s="95" t="s">
        <v>2005</v>
      </c>
      <c r="D166" s="95" t="s">
        <v>26</v>
      </c>
      <c r="E166" s="95" t="s">
        <v>710</v>
      </c>
      <c r="F166" s="95" t="s">
        <v>406</v>
      </c>
      <c r="G166" s="101"/>
      <c r="H166" s="95" t="s">
        <v>40</v>
      </c>
      <c r="I166" s="288"/>
      <c r="J166" s="288"/>
      <c r="K166" s="288"/>
      <c r="L166" s="288"/>
      <c r="M166" s="288">
        <v>120</v>
      </c>
      <c r="N166" s="145">
        <f t="shared" si="25"/>
        <v>120</v>
      </c>
      <c r="O166" s="319">
        <f>N166</f>
        <v>120</v>
      </c>
      <c r="P166" s="95" t="s">
        <v>520</v>
      </c>
      <c r="Q166" s="101">
        <v>46233</v>
      </c>
      <c r="R166" s="295"/>
      <c r="S166"/>
    </row>
    <row r="167" spans="1:20" ht="15.75" customHeight="1" x14ac:dyDescent="0.2">
      <c r="A167" s="245" t="s">
        <v>2006</v>
      </c>
      <c r="B167" s="229" t="s">
        <v>1042</v>
      </c>
      <c r="C167" s="95" t="s">
        <v>2007</v>
      </c>
      <c r="D167" s="95" t="s">
        <v>26</v>
      </c>
      <c r="E167" s="95" t="s">
        <v>445</v>
      </c>
      <c r="F167" s="95" t="s">
        <v>406</v>
      </c>
      <c r="G167" s="101"/>
      <c r="H167" s="95" t="s">
        <v>40</v>
      </c>
      <c r="I167" s="288"/>
      <c r="J167" s="288"/>
      <c r="K167" s="288"/>
      <c r="L167" s="288"/>
      <c r="M167" s="288">
        <v>120</v>
      </c>
      <c r="N167" s="145">
        <f t="shared" si="25"/>
        <v>120</v>
      </c>
      <c r="O167" s="319">
        <f>N167</f>
        <v>120</v>
      </c>
      <c r="P167" s="95" t="s">
        <v>520</v>
      </c>
      <c r="Q167" s="101">
        <v>46233</v>
      </c>
      <c r="R167" s="295"/>
      <c r="S167"/>
    </row>
    <row r="168" spans="1:20" ht="15.75" customHeight="1" x14ac:dyDescent="0.2">
      <c r="A168" s="245" t="s">
        <v>2009</v>
      </c>
      <c r="B168" s="229" t="s">
        <v>1043</v>
      </c>
      <c r="C168" s="95" t="s">
        <v>2008</v>
      </c>
      <c r="D168" s="95" t="s">
        <v>26</v>
      </c>
      <c r="E168" s="95" t="s">
        <v>445</v>
      </c>
      <c r="F168" s="95" t="s">
        <v>406</v>
      </c>
      <c r="G168" s="101"/>
      <c r="H168" s="95" t="s">
        <v>40</v>
      </c>
      <c r="I168" s="288">
        <v>320</v>
      </c>
      <c r="J168" s="288">
        <v>50</v>
      </c>
      <c r="K168" s="288">
        <v>100</v>
      </c>
      <c r="L168" s="288">
        <f>40*2</f>
        <v>80</v>
      </c>
      <c r="M168" s="288"/>
      <c r="N168" s="145">
        <f t="shared" si="25"/>
        <v>550</v>
      </c>
      <c r="O168" s="319">
        <f>N168+3</f>
        <v>553</v>
      </c>
      <c r="P168" s="95" t="s">
        <v>489</v>
      </c>
      <c r="Q168" s="101">
        <v>46237</v>
      </c>
      <c r="R168" s="295" t="s">
        <v>2024</v>
      </c>
      <c r="S168" t="s">
        <v>2025</v>
      </c>
      <c r="T168" t="s">
        <v>2031</v>
      </c>
    </row>
    <row r="169" spans="1:20" ht="23.25" customHeight="1" x14ac:dyDescent="0.2">
      <c r="A169" s="246" t="s">
        <v>2010</v>
      </c>
      <c r="B169" s="229" t="s">
        <v>1044</v>
      </c>
      <c r="C169" s="95" t="s">
        <v>2011</v>
      </c>
      <c r="D169" s="95" t="s">
        <v>26</v>
      </c>
      <c r="E169" s="95" t="s">
        <v>445</v>
      </c>
      <c r="F169" s="95" t="s">
        <v>406</v>
      </c>
      <c r="G169" s="101"/>
      <c r="H169" s="95" t="s">
        <v>40</v>
      </c>
      <c r="I169" s="288">
        <v>160</v>
      </c>
      <c r="J169" s="288">
        <v>50</v>
      </c>
      <c r="K169" s="288"/>
      <c r="L169" s="288">
        <v>40</v>
      </c>
      <c r="M169" s="288"/>
      <c r="N169" s="145">
        <f t="shared" si="25"/>
        <v>250</v>
      </c>
      <c r="O169" s="319">
        <f>N169+9</f>
        <v>259</v>
      </c>
      <c r="P169" s="95" t="s">
        <v>520</v>
      </c>
      <c r="Q169" s="101">
        <v>46237</v>
      </c>
      <c r="R169" s="295" t="s">
        <v>2024</v>
      </c>
      <c r="S169" t="s">
        <v>2025</v>
      </c>
      <c r="T169" t="s">
        <v>2032</v>
      </c>
    </row>
    <row r="170" spans="1:20" ht="15.75" customHeight="1" x14ac:dyDescent="0.2">
      <c r="A170" s="245" t="s">
        <v>2009</v>
      </c>
      <c r="B170" s="229" t="s">
        <v>1045</v>
      </c>
      <c r="C170" s="95" t="s">
        <v>2012</v>
      </c>
      <c r="D170" s="95" t="s">
        <v>26</v>
      </c>
      <c r="E170" s="95" t="s">
        <v>445</v>
      </c>
      <c r="F170" s="95" t="s">
        <v>406</v>
      </c>
      <c r="G170" s="101"/>
      <c r="H170" s="95" t="s">
        <v>40</v>
      </c>
      <c r="I170" s="288">
        <v>320</v>
      </c>
      <c r="J170" s="288">
        <v>50</v>
      </c>
      <c r="K170" s="288">
        <v>120</v>
      </c>
      <c r="L170" s="288">
        <f>40*2</f>
        <v>80</v>
      </c>
      <c r="M170" s="288"/>
      <c r="N170" s="145">
        <v>550</v>
      </c>
      <c r="O170" s="319">
        <f>N170+1</f>
        <v>551</v>
      </c>
      <c r="P170" s="95" t="s">
        <v>520</v>
      </c>
      <c r="Q170" s="101">
        <v>46237</v>
      </c>
      <c r="R170" s="295" t="s">
        <v>2024</v>
      </c>
      <c r="S170" t="s">
        <v>2025</v>
      </c>
      <c r="T170" t="s">
        <v>2033</v>
      </c>
    </row>
    <row r="171" spans="1:20" ht="26.25" customHeight="1" x14ac:dyDescent="0.2">
      <c r="A171" s="246" t="s">
        <v>1949</v>
      </c>
      <c r="B171" s="229" t="s">
        <v>1046</v>
      </c>
      <c r="C171" s="95" t="s">
        <v>2014</v>
      </c>
      <c r="D171" s="95" t="s">
        <v>26</v>
      </c>
      <c r="E171" s="95" t="s">
        <v>2015</v>
      </c>
      <c r="F171" s="95" t="s">
        <v>406</v>
      </c>
      <c r="G171" s="101"/>
      <c r="H171" s="95" t="s">
        <v>41</v>
      </c>
      <c r="I171" s="288"/>
      <c r="J171" s="288">
        <v>60</v>
      </c>
      <c r="K171" s="288">
        <v>130</v>
      </c>
      <c r="L171" s="288">
        <v>40</v>
      </c>
      <c r="M171" s="288"/>
      <c r="N171" s="145">
        <f t="shared" ref="N171:N176" si="26">SUM(I171:M171)</f>
        <v>230</v>
      </c>
      <c r="O171" s="319">
        <f>N171-0.1</f>
        <v>229.9</v>
      </c>
      <c r="P171" s="95" t="s">
        <v>520</v>
      </c>
      <c r="Q171" s="101">
        <v>46240</v>
      </c>
      <c r="R171" s="295" t="s">
        <v>2026</v>
      </c>
      <c r="S171" s="334" t="s">
        <v>2025</v>
      </c>
    </row>
    <row r="172" spans="1:20" ht="30" customHeight="1" x14ac:dyDescent="0.2">
      <c r="A172" s="245" t="s">
        <v>2016</v>
      </c>
      <c r="B172" s="229" t="s">
        <v>1058</v>
      </c>
      <c r="C172" s="95" t="s">
        <v>2017</v>
      </c>
      <c r="D172" s="95" t="s">
        <v>26</v>
      </c>
      <c r="E172" s="95" t="s">
        <v>445</v>
      </c>
      <c r="F172" s="95" t="s">
        <v>406</v>
      </c>
      <c r="G172" s="101"/>
      <c r="H172" s="95" t="s">
        <v>41</v>
      </c>
      <c r="I172" s="288">
        <v>360</v>
      </c>
      <c r="J172" s="288">
        <v>80</v>
      </c>
      <c r="K172" s="288">
        <v>130</v>
      </c>
      <c r="L172" s="288">
        <f>40*2</f>
        <v>80</v>
      </c>
      <c r="M172" s="288"/>
      <c r="N172" s="145">
        <f t="shared" si="26"/>
        <v>650</v>
      </c>
      <c r="O172" s="319">
        <f>N172-5.5</f>
        <v>644.5</v>
      </c>
      <c r="P172" s="95" t="s">
        <v>520</v>
      </c>
      <c r="Q172" s="101">
        <v>46240</v>
      </c>
      <c r="R172" s="295" t="s">
        <v>2020</v>
      </c>
      <c r="S172" t="s">
        <v>2025</v>
      </c>
    </row>
    <row r="173" spans="1:20" ht="30.75" customHeight="1" x14ac:dyDescent="0.2">
      <c r="A173" s="245" t="s">
        <v>1891</v>
      </c>
      <c r="B173" s="229" t="s">
        <v>1059</v>
      </c>
      <c r="C173" s="95" t="s">
        <v>2000</v>
      </c>
      <c r="D173" s="95" t="s">
        <v>383</v>
      </c>
      <c r="E173" s="95" t="s">
        <v>445</v>
      </c>
      <c r="F173" s="95" t="s">
        <v>406</v>
      </c>
      <c r="G173" s="101" t="s">
        <v>2037</v>
      </c>
      <c r="H173" s="95" t="s">
        <v>41</v>
      </c>
      <c r="I173" s="288">
        <v>240</v>
      </c>
      <c r="J173" s="288">
        <v>80</v>
      </c>
      <c r="K173" s="288">
        <v>80</v>
      </c>
      <c r="L173" s="288">
        <v>400</v>
      </c>
      <c r="M173" s="288">
        <v>1200</v>
      </c>
      <c r="N173" s="145">
        <f t="shared" si="26"/>
        <v>2000</v>
      </c>
      <c r="O173" s="319">
        <f>N173-1054.81</f>
        <v>945.19</v>
      </c>
      <c r="P173" s="95" t="s">
        <v>417</v>
      </c>
      <c r="Q173" s="101">
        <v>46240</v>
      </c>
      <c r="R173" s="295" t="s">
        <v>2020</v>
      </c>
      <c r="S173"/>
    </row>
    <row r="174" spans="1:20" ht="15.75" customHeight="1" x14ac:dyDescent="0.2">
      <c r="A174" s="245" t="s">
        <v>443</v>
      </c>
      <c r="B174" s="229" t="s">
        <v>1060</v>
      </c>
      <c r="C174" s="95" t="s">
        <v>2018</v>
      </c>
      <c r="D174" s="95" t="s">
        <v>26</v>
      </c>
      <c r="E174" s="95" t="s">
        <v>445</v>
      </c>
      <c r="F174" s="95" t="s">
        <v>406</v>
      </c>
      <c r="G174" s="101" t="s">
        <v>2036</v>
      </c>
      <c r="H174" s="95" t="s">
        <v>41</v>
      </c>
      <c r="I174" s="288">
        <v>300</v>
      </c>
      <c r="J174" s="288">
        <v>40</v>
      </c>
      <c r="K174" s="288">
        <v>80</v>
      </c>
      <c r="L174" s="288">
        <f>40*2</f>
        <v>80</v>
      </c>
      <c r="M174" s="288"/>
      <c r="N174" s="145">
        <f t="shared" si="26"/>
        <v>500</v>
      </c>
      <c r="O174" s="319">
        <f>N174-13.5</f>
        <v>486.5</v>
      </c>
      <c r="P174" s="95" t="s">
        <v>520</v>
      </c>
      <c r="Q174" s="101">
        <v>46240</v>
      </c>
      <c r="R174" s="295" t="s">
        <v>2020</v>
      </c>
    </row>
    <row r="175" spans="1:20" ht="15.75" customHeight="1" x14ac:dyDescent="0.2">
      <c r="A175" s="245" t="s">
        <v>2002</v>
      </c>
      <c r="B175" s="229" t="s">
        <v>1061</v>
      </c>
      <c r="C175" s="95" t="s">
        <v>2019</v>
      </c>
      <c r="D175" s="95" t="s">
        <v>26</v>
      </c>
      <c r="E175" s="95" t="s">
        <v>445</v>
      </c>
      <c r="F175" s="95" t="s">
        <v>406</v>
      </c>
      <c r="G175" s="101" t="s">
        <v>2036</v>
      </c>
      <c r="H175" s="95" t="s">
        <v>41</v>
      </c>
      <c r="I175" s="288">
        <v>360</v>
      </c>
      <c r="J175" s="288">
        <v>80</v>
      </c>
      <c r="K175" s="288">
        <v>130</v>
      </c>
      <c r="L175" s="288">
        <f>40*2</f>
        <v>80</v>
      </c>
      <c r="M175" s="288"/>
      <c r="N175" s="145">
        <f t="shared" ref="N175:N180" si="27">SUM(I175:M175)</f>
        <v>650</v>
      </c>
      <c r="O175" s="319">
        <f>N175+2</f>
        <v>652</v>
      </c>
      <c r="P175" s="95" t="s">
        <v>520</v>
      </c>
      <c r="Q175" s="101">
        <v>46245</v>
      </c>
      <c r="R175" s="295" t="s">
        <v>2020</v>
      </c>
      <c r="S175" t="s">
        <v>2025</v>
      </c>
      <c r="T175" t="s">
        <v>2028</v>
      </c>
    </row>
    <row r="176" spans="1:20" ht="15.75" customHeight="1" x14ac:dyDescent="0.2">
      <c r="A176" s="2" t="s">
        <v>1971</v>
      </c>
      <c r="B176" s="276" t="s">
        <v>1070</v>
      </c>
      <c r="C176" s="3" t="s">
        <v>2021</v>
      </c>
      <c r="D176" s="3" t="s">
        <v>26</v>
      </c>
      <c r="E176" s="3" t="s">
        <v>449</v>
      </c>
      <c r="F176" s="3" t="s">
        <v>406</v>
      </c>
      <c r="G176" s="101" t="s">
        <v>2035</v>
      </c>
      <c r="H176" s="3" t="s">
        <v>41</v>
      </c>
      <c r="I176" s="8">
        <v>180</v>
      </c>
      <c r="J176" s="8">
        <v>80</v>
      </c>
      <c r="K176" s="8">
        <v>40</v>
      </c>
      <c r="L176" s="8"/>
      <c r="M176" s="8"/>
      <c r="N176" s="294">
        <f t="shared" si="26"/>
        <v>300</v>
      </c>
      <c r="O176" s="321"/>
      <c r="P176" s="3" t="s">
        <v>489</v>
      </c>
      <c r="Q176" s="79">
        <v>46245</v>
      </c>
      <c r="R176" s="295" t="s">
        <v>2020</v>
      </c>
    </row>
    <row r="177" spans="1:21" ht="31.5" customHeight="1" x14ac:dyDescent="0.2">
      <c r="A177" s="245" t="s">
        <v>1723</v>
      </c>
      <c r="B177" s="229" t="s">
        <v>1071</v>
      </c>
      <c r="C177" s="95" t="s">
        <v>2022</v>
      </c>
      <c r="D177" s="95" t="s">
        <v>26</v>
      </c>
      <c r="E177" s="95" t="s">
        <v>449</v>
      </c>
      <c r="F177" s="95" t="s">
        <v>406</v>
      </c>
      <c r="G177" s="101" t="s">
        <v>2035</v>
      </c>
      <c r="H177" s="95" t="s">
        <v>41</v>
      </c>
      <c r="I177" s="288">
        <v>85</v>
      </c>
      <c r="J177" s="288">
        <v>60</v>
      </c>
      <c r="K177" s="288">
        <v>55</v>
      </c>
      <c r="L177" s="288"/>
      <c r="M177" s="288"/>
      <c r="N177" s="145">
        <f t="shared" si="27"/>
        <v>200</v>
      </c>
      <c r="O177" s="319">
        <f>N177-7</f>
        <v>193</v>
      </c>
      <c r="P177" s="95" t="s">
        <v>948</v>
      </c>
      <c r="Q177" s="101">
        <v>46245</v>
      </c>
      <c r="R177" s="295" t="s">
        <v>2020</v>
      </c>
      <c r="S177" t="s">
        <v>2025</v>
      </c>
    </row>
    <row r="178" spans="1:21" ht="15.75" customHeight="1" x14ac:dyDescent="0.2">
      <c r="A178" s="245" t="s">
        <v>2016</v>
      </c>
      <c r="B178" s="229" t="s">
        <v>1072</v>
      </c>
      <c r="C178" s="95" t="s">
        <v>2023</v>
      </c>
      <c r="D178" s="95" t="s">
        <v>26</v>
      </c>
      <c r="E178" s="95" t="s">
        <v>445</v>
      </c>
      <c r="F178" s="95" t="s">
        <v>406</v>
      </c>
      <c r="G178" s="101">
        <v>46245</v>
      </c>
      <c r="H178" s="95" t="s">
        <v>41</v>
      </c>
      <c r="I178" s="288">
        <v>300</v>
      </c>
      <c r="J178" s="288">
        <v>40</v>
      </c>
      <c r="K178" s="288">
        <v>80</v>
      </c>
      <c r="L178" s="288">
        <f>40*2</f>
        <v>80</v>
      </c>
      <c r="M178" s="288"/>
      <c r="N178" s="145">
        <f t="shared" si="27"/>
        <v>500</v>
      </c>
      <c r="O178" s="319">
        <f>N178-3.7</f>
        <v>496.3</v>
      </c>
      <c r="P178" s="95" t="s">
        <v>417</v>
      </c>
      <c r="Q178" s="101">
        <v>46246</v>
      </c>
      <c r="R178" s="295" t="s">
        <v>2024</v>
      </c>
    </row>
    <row r="179" spans="1:21" ht="15.75" customHeight="1" x14ac:dyDescent="0.2">
      <c r="A179" s="245" t="s">
        <v>1872</v>
      </c>
      <c r="B179" s="229" t="s">
        <v>1073</v>
      </c>
      <c r="C179" s="95" t="s">
        <v>2027</v>
      </c>
      <c r="D179" s="95" t="s">
        <v>26</v>
      </c>
      <c r="E179" s="95" t="s">
        <v>1887</v>
      </c>
      <c r="F179" s="95" t="s">
        <v>406</v>
      </c>
      <c r="G179" s="101">
        <v>46241</v>
      </c>
      <c r="H179" s="95" t="s">
        <v>41</v>
      </c>
      <c r="I179" s="288"/>
      <c r="J179" s="288">
        <f>91+45</f>
        <v>136</v>
      </c>
      <c r="K179" s="288">
        <f>35+54</f>
        <v>89</v>
      </c>
      <c r="L179" s="288">
        <v>45</v>
      </c>
      <c r="M179" s="288"/>
      <c r="N179" s="145">
        <f t="shared" si="27"/>
        <v>270</v>
      </c>
      <c r="O179" s="319">
        <f>N179-5.5</f>
        <v>264.5</v>
      </c>
      <c r="P179" s="95" t="s">
        <v>417</v>
      </c>
      <c r="Q179" s="101">
        <v>46251</v>
      </c>
      <c r="R179" s="295"/>
      <c r="S179"/>
    </row>
    <row r="180" spans="1:21" ht="32.25" customHeight="1" x14ac:dyDescent="0.2">
      <c r="A180" s="376" t="s">
        <v>2029</v>
      </c>
      <c r="B180" s="377" t="s">
        <v>1074</v>
      </c>
      <c r="C180" s="378" t="s">
        <v>2030</v>
      </c>
      <c r="D180" s="378" t="s">
        <v>26</v>
      </c>
      <c r="E180" s="378" t="s">
        <v>445</v>
      </c>
      <c r="F180" s="378" t="s">
        <v>406</v>
      </c>
      <c r="G180" s="196">
        <v>46251</v>
      </c>
      <c r="H180" s="378" t="s">
        <v>41</v>
      </c>
      <c r="I180" s="231">
        <v>200</v>
      </c>
      <c r="J180" s="231">
        <v>40</v>
      </c>
      <c r="K180" s="231">
        <v>80</v>
      </c>
      <c r="L180" s="231">
        <f>40*2</f>
        <v>80</v>
      </c>
      <c r="M180" s="231"/>
      <c r="N180" s="379">
        <f t="shared" si="27"/>
        <v>400</v>
      </c>
      <c r="O180" s="380"/>
      <c r="P180" s="378" t="s">
        <v>417</v>
      </c>
      <c r="Q180" s="196">
        <v>46251</v>
      </c>
      <c r="R180" s="295"/>
      <c r="S180"/>
      <c r="U180" s="338"/>
    </row>
    <row r="181" spans="1:21" ht="33.75" customHeight="1" x14ac:dyDescent="0.2">
      <c r="A181" s="2"/>
      <c r="B181" s="276" t="s">
        <v>1087</v>
      </c>
      <c r="C181" s="3"/>
      <c r="D181" s="3"/>
      <c r="E181" s="3"/>
      <c r="F181" s="3"/>
      <c r="G181" s="79"/>
      <c r="H181" s="3"/>
      <c r="I181" s="8"/>
      <c r="J181" s="8"/>
      <c r="K181" s="8"/>
      <c r="L181" s="8"/>
      <c r="M181" s="8"/>
      <c r="N181" s="126"/>
      <c r="O181" s="321"/>
      <c r="P181" s="3"/>
      <c r="Q181" s="3"/>
      <c r="R181" s="295"/>
      <c r="S181"/>
      <c r="U181" s="338"/>
    </row>
    <row r="182" spans="1:21" ht="15.75" customHeight="1" x14ac:dyDescent="0.2">
      <c r="A182" s="2"/>
      <c r="B182" s="276" t="s">
        <v>1088</v>
      </c>
      <c r="C182" s="3"/>
      <c r="D182" s="3"/>
      <c r="E182" s="3"/>
      <c r="F182" s="3"/>
      <c r="G182" s="79"/>
      <c r="H182" s="3"/>
      <c r="I182" s="8"/>
      <c r="J182" s="8"/>
      <c r="K182" s="8"/>
      <c r="L182" s="8"/>
      <c r="M182" s="8"/>
      <c r="N182" s="126"/>
      <c r="O182" s="321"/>
      <c r="P182" s="3"/>
      <c r="Q182" s="3"/>
      <c r="R182" s="295"/>
      <c r="S182"/>
    </row>
    <row r="183" spans="1:21" ht="15.75" customHeight="1" x14ac:dyDescent="0.2">
      <c r="A183" s="2"/>
      <c r="B183" s="276" t="s">
        <v>1089</v>
      </c>
      <c r="C183" s="3"/>
      <c r="D183" s="3"/>
      <c r="E183" s="3"/>
      <c r="F183" s="3"/>
      <c r="G183" s="79"/>
      <c r="H183" s="3"/>
      <c r="I183" s="8"/>
      <c r="J183" s="8"/>
      <c r="K183" s="8"/>
      <c r="L183" s="8"/>
      <c r="M183" s="8"/>
      <c r="N183" s="126"/>
      <c r="O183" s="321"/>
      <c r="P183" s="3"/>
      <c r="Q183" s="3"/>
      <c r="R183" s="295"/>
      <c r="S183"/>
    </row>
    <row r="184" spans="1:21" ht="15.75" customHeight="1" x14ac:dyDescent="0.2">
      <c r="A184" s="2"/>
      <c r="B184" s="276" t="s">
        <v>1090</v>
      </c>
      <c r="C184" s="3"/>
      <c r="D184" s="3"/>
      <c r="E184" s="3"/>
      <c r="F184" s="3"/>
      <c r="G184" s="79"/>
      <c r="H184" s="3"/>
      <c r="I184" s="8"/>
      <c r="J184" s="8"/>
      <c r="K184" s="8"/>
      <c r="L184" s="8"/>
      <c r="M184" s="8"/>
      <c r="N184" s="126"/>
      <c r="O184" s="321"/>
      <c r="P184" s="3"/>
      <c r="Q184" s="3"/>
      <c r="R184" s="295"/>
      <c r="S184"/>
    </row>
    <row r="185" spans="1:21" ht="15.75" customHeight="1" x14ac:dyDescent="0.2">
      <c r="A185" s="2"/>
      <c r="B185" s="276" t="s">
        <v>1102</v>
      </c>
      <c r="C185" s="3"/>
      <c r="D185" s="3"/>
      <c r="E185" s="3"/>
      <c r="F185" s="3"/>
      <c r="G185" s="79"/>
      <c r="H185" s="3"/>
      <c r="I185" s="8"/>
      <c r="J185" s="8"/>
      <c r="K185" s="8"/>
      <c r="L185" s="8"/>
      <c r="M185" s="8"/>
      <c r="N185" s="126"/>
      <c r="O185" s="321"/>
      <c r="P185" s="3"/>
      <c r="Q185" s="3"/>
      <c r="R185" s="295"/>
      <c r="S185"/>
    </row>
    <row r="186" spans="1:21" ht="32.25" customHeight="1" x14ac:dyDescent="0.2">
      <c r="A186" s="2"/>
      <c r="B186" s="9"/>
      <c r="C186" s="3"/>
      <c r="D186" s="3"/>
      <c r="E186" s="3"/>
      <c r="F186" s="3"/>
      <c r="G186" s="79"/>
      <c r="H186" s="3"/>
      <c r="I186" s="8"/>
      <c r="J186" s="8"/>
      <c r="K186" s="8"/>
      <c r="L186" s="8"/>
      <c r="M186" s="8"/>
      <c r="N186" s="126"/>
      <c r="O186" s="321"/>
      <c r="P186" s="3"/>
      <c r="Q186" s="3"/>
      <c r="R186" s="295"/>
    </row>
    <row r="187" spans="1:21" ht="15.75" customHeight="1" x14ac:dyDescent="0.2">
      <c r="A187" s="2"/>
      <c r="B187" s="9"/>
      <c r="C187" s="3"/>
      <c r="D187" s="3"/>
      <c r="E187" s="3"/>
      <c r="F187" s="3"/>
      <c r="G187" s="79"/>
      <c r="H187" s="3"/>
      <c r="I187" s="8"/>
      <c r="J187" s="8"/>
      <c r="K187" s="8"/>
      <c r="L187" s="8"/>
      <c r="M187" s="8"/>
      <c r="N187" s="126"/>
      <c r="O187" s="321"/>
      <c r="P187" s="3"/>
      <c r="Q187" s="3"/>
      <c r="R187" s="295"/>
    </row>
    <row r="188" spans="1:21" ht="61.5" customHeight="1" x14ac:dyDescent="0.2">
      <c r="A188" s="2"/>
      <c r="B188" s="9"/>
      <c r="C188" s="3"/>
      <c r="D188" s="3"/>
      <c r="E188" s="3"/>
      <c r="F188" s="3"/>
      <c r="G188" s="79"/>
      <c r="H188" s="3"/>
      <c r="I188" s="8"/>
      <c r="J188" s="8"/>
      <c r="K188" s="8"/>
      <c r="L188" s="8"/>
      <c r="M188" s="8"/>
      <c r="N188" s="126"/>
      <c r="O188" s="321"/>
      <c r="P188" s="3"/>
      <c r="Q188" s="3"/>
      <c r="R188" s="295"/>
    </row>
    <row r="189" spans="1:21" ht="15.75" customHeight="1" x14ac:dyDescent="0.2">
      <c r="A189" s="2"/>
      <c r="B189" s="9"/>
      <c r="C189" s="3"/>
      <c r="D189" s="3"/>
      <c r="E189" s="3"/>
      <c r="F189" s="3"/>
      <c r="G189" s="79"/>
      <c r="H189" s="3"/>
      <c r="I189" s="8"/>
      <c r="J189" s="8"/>
      <c r="K189" s="8"/>
      <c r="L189" s="8"/>
      <c r="M189" s="8"/>
      <c r="N189" s="126"/>
      <c r="O189" s="321"/>
      <c r="P189" s="3"/>
      <c r="Q189" s="3"/>
      <c r="R189" s="295"/>
    </row>
    <row r="190" spans="1:21" ht="15.75" customHeight="1" x14ac:dyDescent="0.2">
      <c r="A190" s="2"/>
      <c r="B190" s="9"/>
      <c r="C190" s="3"/>
      <c r="D190" s="3"/>
      <c r="E190" s="3"/>
      <c r="F190" s="3"/>
      <c r="G190" s="79"/>
      <c r="H190" s="3"/>
      <c r="I190" s="8"/>
      <c r="J190" s="8"/>
      <c r="K190" s="8"/>
      <c r="L190" s="8"/>
      <c r="M190" s="8"/>
      <c r="N190" s="126"/>
      <c r="O190" s="321"/>
      <c r="P190" s="3"/>
      <c r="Q190" s="3"/>
      <c r="R190" s="295"/>
    </row>
    <row r="191" spans="1:21" ht="15.75" customHeight="1" x14ac:dyDescent="0.2">
      <c r="A191" s="2"/>
      <c r="B191" s="9"/>
      <c r="C191" s="3"/>
      <c r="D191" s="3"/>
      <c r="E191" s="3"/>
      <c r="F191" s="3"/>
      <c r="G191" s="79"/>
      <c r="H191" s="3"/>
      <c r="I191" s="8"/>
      <c r="J191" s="8"/>
      <c r="K191" s="8"/>
      <c r="L191" s="8"/>
      <c r="M191" s="8"/>
      <c r="N191" s="126"/>
      <c r="O191" s="321"/>
      <c r="P191" s="3"/>
      <c r="Q191" s="3"/>
      <c r="R191" s="295"/>
    </row>
    <row r="192" spans="1:21" ht="15.75" customHeight="1" x14ac:dyDescent="0.2">
      <c r="A192" s="2"/>
      <c r="B192" s="9"/>
      <c r="C192" s="3"/>
      <c r="D192" s="3"/>
      <c r="E192" s="3"/>
      <c r="F192" s="3"/>
      <c r="G192" s="79"/>
      <c r="H192" s="3"/>
      <c r="I192" s="8"/>
      <c r="J192" s="8"/>
      <c r="K192" s="8"/>
      <c r="L192" s="8"/>
      <c r="M192" s="8"/>
      <c r="N192" s="126"/>
      <c r="O192" s="321"/>
      <c r="P192" s="3"/>
      <c r="Q192" s="3"/>
      <c r="R192" s="295"/>
    </row>
    <row r="193" spans="1:18" ht="15.75" customHeight="1" x14ac:dyDescent="0.2">
      <c r="A193" s="2"/>
      <c r="B193" s="9"/>
      <c r="C193" s="3"/>
      <c r="D193" s="3"/>
      <c r="E193" s="3"/>
      <c r="F193" s="3"/>
      <c r="G193" s="79"/>
      <c r="H193" s="3"/>
      <c r="I193" s="8"/>
      <c r="J193" s="8"/>
      <c r="K193" s="8"/>
      <c r="L193" s="8"/>
      <c r="M193" s="8"/>
      <c r="N193" s="126"/>
      <c r="O193" s="321"/>
      <c r="P193" s="3"/>
      <c r="Q193" s="3"/>
      <c r="R193" s="295"/>
    </row>
    <row r="194" spans="1:18" ht="15.75" customHeight="1" x14ac:dyDescent="0.2">
      <c r="A194" s="2"/>
      <c r="B194" s="9"/>
      <c r="C194" s="3"/>
      <c r="D194" s="3"/>
      <c r="E194" s="3"/>
      <c r="F194" s="3"/>
      <c r="G194" s="79"/>
      <c r="H194" s="3"/>
      <c r="I194" s="8"/>
      <c r="J194" s="8"/>
      <c r="K194" s="8"/>
      <c r="L194" s="8"/>
      <c r="M194" s="8"/>
      <c r="N194" s="126"/>
      <c r="O194" s="321"/>
      <c r="P194" s="3"/>
      <c r="Q194" s="3"/>
      <c r="R194" s="295"/>
    </row>
    <row r="195" spans="1:18" ht="15.75" customHeight="1" x14ac:dyDescent="0.2">
      <c r="A195" s="2"/>
      <c r="B195" s="9"/>
      <c r="C195" s="3"/>
      <c r="D195" s="3"/>
      <c r="E195" s="3"/>
      <c r="F195" s="3"/>
      <c r="G195" s="79"/>
      <c r="H195" s="3"/>
      <c r="I195" s="8"/>
      <c r="J195" s="8"/>
      <c r="K195" s="8"/>
      <c r="L195" s="8"/>
      <c r="M195" s="8"/>
      <c r="N195" s="126"/>
      <c r="O195" s="321"/>
      <c r="P195" s="3"/>
      <c r="Q195" s="3"/>
      <c r="R195" s="295"/>
    </row>
    <row r="196" spans="1:18" ht="45" customHeight="1" x14ac:dyDescent="0.2">
      <c r="A196" s="2"/>
      <c r="B196" s="9"/>
      <c r="C196" s="3"/>
      <c r="D196" s="3"/>
      <c r="E196" s="3"/>
      <c r="F196" s="3"/>
      <c r="G196" s="79"/>
      <c r="H196" s="3"/>
      <c r="I196" s="8"/>
      <c r="J196" s="8"/>
      <c r="K196" s="8"/>
      <c r="L196" s="8"/>
      <c r="M196" s="8"/>
      <c r="N196" s="126"/>
      <c r="O196" s="321"/>
      <c r="P196" s="3"/>
      <c r="Q196" s="3"/>
      <c r="R196" s="295"/>
    </row>
    <row r="197" spans="1:18" ht="15.75" customHeight="1" x14ac:dyDescent="0.2">
      <c r="A197" s="2"/>
      <c r="B197" s="9"/>
      <c r="C197" s="3"/>
      <c r="D197" s="3"/>
      <c r="E197" s="3"/>
      <c r="F197" s="3"/>
      <c r="G197" s="79"/>
      <c r="H197" s="3"/>
      <c r="I197" s="8"/>
      <c r="J197" s="8"/>
      <c r="K197" s="8"/>
      <c r="L197" s="8"/>
      <c r="M197" s="8"/>
      <c r="N197" s="126"/>
      <c r="O197" s="321"/>
      <c r="P197" s="3"/>
      <c r="Q197" s="3"/>
      <c r="R197" s="295"/>
    </row>
    <row r="198" spans="1:18" ht="15.75" customHeight="1" x14ac:dyDescent="0.2">
      <c r="A198" s="2"/>
      <c r="B198" s="9"/>
      <c r="C198" s="3"/>
      <c r="D198" s="3"/>
      <c r="E198" s="3"/>
      <c r="F198" s="3"/>
      <c r="G198" s="79"/>
      <c r="H198" s="3"/>
      <c r="I198" s="8"/>
      <c r="J198" s="8"/>
      <c r="K198" s="8"/>
      <c r="L198" s="8"/>
      <c r="M198" s="8"/>
      <c r="N198" s="126"/>
      <c r="O198" s="321"/>
      <c r="P198" s="3"/>
      <c r="Q198" s="3"/>
      <c r="R198" s="295"/>
    </row>
    <row r="199" spans="1:18" ht="15.75" customHeight="1" x14ac:dyDescent="0.2">
      <c r="A199" s="2"/>
      <c r="B199" s="9"/>
      <c r="C199" s="3"/>
      <c r="D199" s="3"/>
      <c r="E199" s="3"/>
      <c r="F199" s="3"/>
      <c r="G199" s="79"/>
      <c r="H199" s="3"/>
      <c r="I199" s="8"/>
      <c r="J199" s="8"/>
      <c r="K199" s="8"/>
      <c r="L199" s="8"/>
      <c r="M199" s="8"/>
      <c r="N199" s="126"/>
      <c r="O199" s="321"/>
      <c r="P199" s="3"/>
      <c r="Q199" s="3"/>
      <c r="R199" s="295"/>
    </row>
    <row r="200" spans="1:18" ht="15.75" customHeight="1" x14ac:dyDescent="0.2">
      <c r="A200" s="2"/>
      <c r="B200" s="9"/>
      <c r="C200" s="3"/>
      <c r="D200" s="3"/>
      <c r="E200" s="3"/>
      <c r="F200" s="3"/>
      <c r="G200" s="79"/>
      <c r="H200" s="3"/>
      <c r="I200" s="8"/>
      <c r="J200" s="8"/>
      <c r="K200" s="8"/>
      <c r="L200" s="8"/>
      <c r="M200" s="8"/>
      <c r="N200" s="126"/>
      <c r="O200" s="321"/>
      <c r="P200" s="3"/>
      <c r="Q200" s="3"/>
      <c r="R200" s="295"/>
    </row>
    <row r="201" spans="1:18" ht="15.75" customHeight="1" x14ac:dyDescent="0.2">
      <c r="A201" s="2"/>
      <c r="B201" s="9"/>
      <c r="C201" s="3"/>
      <c r="D201" s="3"/>
      <c r="E201" s="3"/>
      <c r="F201" s="3"/>
      <c r="G201" s="79"/>
      <c r="H201" s="3"/>
      <c r="I201" s="8"/>
      <c r="J201" s="8"/>
      <c r="K201" s="8"/>
      <c r="L201" s="8"/>
      <c r="M201" s="8"/>
      <c r="N201" s="126"/>
      <c r="O201" s="321"/>
      <c r="P201" s="3"/>
      <c r="Q201" s="3"/>
      <c r="R201" s="295"/>
    </row>
    <row r="202" spans="1:18" ht="15.75" customHeight="1" x14ac:dyDescent="0.2">
      <c r="A202" s="2"/>
      <c r="B202" s="9"/>
      <c r="C202" s="3"/>
      <c r="D202" s="3"/>
      <c r="E202" s="3"/>
      <c r="F202" s="3"/>
      <c r="G202" s="79"/>
      <c r="H202" s="3"/>
      <c r="I202" s="8"/>
      <c r="J202" s="8"/>
      <c r="K202" s="8"/>
      <c r="L202" s="8"/>
      <c r="M202" s="8"/>
      <c r="N202" s="126"/>
      <c r="O202" s="321"/>
      <c r="P202" s="3"/>
      <c r="Q202" s="3"/>
      <c r="R202" s="295"/>
    </row>
    <row r="203" spans="1:18" ht="15.75" customHeight="1" x14ac:dyDescent="0.2">
      <c r="A203" s="2"/>
      <c r="B203" s="9"/>
      <c r="C203" s="3"/>
      <c r="D203" s="3"/>
      <c r="E203" s="3"/>
      <c r="F203" s="3"/>
      <c r="G203" s="79"/>
      <c r="H203" s="3"/>
      <c r="I203" s="8"/>
      <c r="J203" s="8"/>
      <c r="K203" s="8"/>
      <c r="L203" s="8"/>
      <c r="M203" s="8"/>
      <c r="N203" s="126"/>
      <c r="O203" s="321"/>
      <c r="P203" s="3"/>
      <c r="Q203" s="3"/>
      <c r="R203" s="295"/>
    </row>
    <row r="204" spans="1:18" ht="33" customHeight="1" x14ac:dyDescent="0.2">
      <c r="A204" s="2"/>
      <c r="B204" s="9"/>
      <c r="C204" s="3"/>
      <c r="D204" s="3"/>
      <c r="E204" s="3"/>
      <c r="F204" s="3"/>
      <c r="G204" s="79"/>
      <c r="H204" s="3"/>
      <c r="I204" s="8"/>
      <c r="J204" s="8"/>
      <c r="K204" s="8"/>
      <c r="L204" s="8"/>
      <c r="M204" s="8"/>
      <c r="N204" s="126"/>
      <c r="O204" s="321"/>
      <c r="P204" s="3"/>
      <c r="Q204" s="3"/>
      <c r="R204" s="295"/>
    </row>
    <row r="205" spans="1:18" ht="15.75" customHeight="1" x14ac:dyDescent="0.2">
      <c r="A205" s="2"/>
      <c r="B205" s="9"/>
      <c r="C205" s="3"/>
      <c r="D205" s="3"/>
      <c r="E205" s="3"/>
      <c r="F205" s="3"/>
      <c r="G205" s="79"/>
      <c r="H205" s="3"/>
      <c r="I205" s="8"/>
      <c r="J205" s="8"/>
      <c r="K205" s="8"/>
      <c r="L205" s="8"/>
      <c r="M205" s="8"/>
      <c r="N205" s="126"/>
      <c r="O205" s="321"/>
      <c r="P205" s="3"/>
      <c r="Q205" s="3"/>
      <c r="R205" s="295"/>
    </row>
    <row r="206" spans="1:18" ht="15.75" customHeight="1" x14ac:dyDescent="0.2">
      <c r="A206" s="2"/>
      <c r="B206" s="9"/>
      <c r="C206" s="3"/>
      <c r="D206" s="3"/>
      <c r="E206" s="3"/>
      <c r="F206" s="3"/>
      <c r="G206" s="79"/>
      <c r="H206" s="3"/>
      <c r="I206" s="8"/>
      <c r="J206" s="8"/>
      <c r="K206" s="8"/>
      <c r="L206" s="8"/>
      <c r="M206" s="8"/>
      <c r="N206" s="126"/>
      <c r="O206" s="321"/>
      <c r="P206" s="3"/>
      <c r="Q206" s="3"/>
      <c r="R206" s="295"/>
    </row>
    <row r="207" spans="1:18" ht="15.75" customHeight="1" x14ac:dyDescent="0.2">
      <c r="A207" s="2"/>
      <c r="B207" s="9"/>
      <c r="C207" s="3"/>
      <c r="D207" s="3"/>
      <c r="E207" s="3"/>
      <c r="F207" s="3"/>
      <c r="G207" s="79"/>
      <c r="H207" s="3"/>
      <c r="I207" s="8"/>
      <c r="J207" s="8"/>
      <c r="K207" s="8"/>
      <c r="L207" s="8"/>
      <c r="M207" s="8"/>
      <c r="N207" s="126"/>
      <c r="O207" s="321"/>
      <c r="P207" s="3"/>
      <c r="Q207" s="3"/>
      <c r="R207" s="295"/>
    </row>
    <row r="208" spans="1:18" ht="15.75" customHeight="1" x14ac:dyDescent="0.2">
      <c r="A208" s="2"/>
      <c r="B208" s="9"/>
      <c r="C208" s="3"/>
      <c r="D208" s="3"/>
      <c r="E208" s="3"/>
      <c r="F208" s="3"/>
      <c r="G208" s="79"/>
      <c r="H208" s="3"/>
      <c r="I208" s="8"/>
      <c r="J208" s="8"/>
      <c r="K208" s="8"/>
      <c r="L208" s="8"/>
      <c r="M208" s="8"/>
      <c r="N208" s="126"/>
      <c r="O208" s="321"/>
      <c r="P208" s="3"/>
      <c r="Q208" s="3"/>
      <c r="R208" s="295"/>
    </row>
    <row r="209" spans="1:18" ht="15.75" customHeight="1" x14ac:dyDescent="0.2">
      <c r="A209" s="2"/>
      <c r="B209" s="9"/>
      <c r="C209" s="3"/>
      <c r="D209" s="3"/>
      <c r="E209" s="3"/>
      <c r="F209" s="3"/>
      <c r="G209" s="79"/>
      <c r="H209" s="3"/>
      <c r="I209" s="8"/>
      <c r="J209" s="8"/>
      <c r="K209" s="8"/>
      <c r="L209" s="8"/>
      <c r="M209" s="8"/>
      <c r="N209" s="126"/>
      <c r="O209" s="321"/>
      <c r="P209" s="3"/>
      <c r="Q209" s="3"/>
      <c r="R209" s="295"/>
    </row>
    <row r="210" spans="1:18" ht="15.75" customHeight="1" x14ac:dyDescent="0.2">
      <c r="A210" s="2"/>
      <c r="B210" s="9"/>
      <c r="C210" s="3"/>
      <c r="D210" s="3"/>
      <c r="E210" s="3"/>
      <c r="F210" s="3"/>
      <c r="G210" s="79"/>
      <c r="H210" s="3"/>
      <c r="I210" s="8"/>
      <c r="J210" s="8"/>
      <c r="K210" s="8"/>
      <c r="L210" s="8"/>
      <c r="M210" s="8"/>
      <c r="N210" s="126"/>
      <c r="O210" s="321"/>
      <c r="P210" s="3"/>
      <c r="Q210" s="3"/>
      <c r="R210" s="295"/>
    </row>
    <row r="211" spans="1:18" ht="15.75" customHeight="1" x14ac:dyDescent="0.2">
      <c r="A211" s="2"/>
      <c r="B211" s="9"/>
      <c r="C211" s="3"/>
      <c r="D211" s="3"/>
      <c r="E211" s="3"/>
      <c r="F211" s="3"/>
      <c r="G211" s="79"/>
      <c r="H211" s="3"/>
      <c r="I211" s="8"/>
      <c r="J211" s="8"/>
      <c r="K211" s="8"/>
      <c r="L211" s="8"/>
      <c r="M211" s="8"/>
      <c r="N211" s="126"/>
      <c r="O211" s="321"/>
      <c r="P211" s="3"/>
      <c r="Q211" s="3"/>
      <c r="R211" s="295"/>
    </row>
    <row r="212" spans="1:18" ht="15.75" customHeight="1" x14ac:dyDescent="0.2">
      <c r="A212" s="2"/>
      <c r="B212" s="9"/>
      <c r="C212" s="3"/>
      <c r="D212" s="3"/>
      <c r="E212" s="3"/>
      <c r="F212" s="3"/>
      <c r="G212" s="79"/>
      <c r="H212" s="3"/>
      <c r="I212" s="8"/>
      <c r="J212" s="8"/>
      <c r="K212" s="8"/>
      <c r="L212" s="8"/>
      <c r="M212" s="8"/>
      <c r="N212" s="126"/>
      <c r="O212" s="321"/>
      <c r="P212" s="3"/>
      <c r="Q212" s="3"/>
      <c r="R212" s="295"/>
    </row>
    <row r="213" spans="1:18" ht="31.5" customHeight="1" x14ac:dyDescent="0.2">
      <c r="A213" s="2"/>
      <c r="B213" s="9"/>
      <c r="C213" s="3"/>
      <c r="D213" s="3"/>
      <c r="E213" s="3"/>
      <c r="F213" s="3"/>
      <c r="G213" s="79"/>
      <c r="H213" s="3"/>
      <c r="I213" s="8"/>
      <c r="J213" s="8"/>
      <c r="K213" s="8"/>
      <c r="L213" s="8"/>
      <c r="M213" s="8"/>
      <c r="N213" s="126"/>
      <c r="O213" s="321"/>
      <c r="P213" s="3"/>
      <c r="Q213" s="3"/>
      <c r="R213" s="295"/>
    </row>
    <row r="214" spans="1:18" ht="15.75" customHeight="1" x14ac:dyDescent="0.2">
      <c r="A214" s="2"/>
      <c r="B214" s="9"/>
      <c r="C214" s="3"/>
      <c r="D214" s="3"/>
      <c r="E214" s="3"/>
      <c r="F214" s="3"/>
      <c r="G214" s="79"/>
      <c r="H214" s="3"/>
      <c r="I214" s="8"/>
      <c r="J214" s="8"/>
      <c r="K214" s="8"/>
      <c r="L214" s="8"/>
      <c r="M214" s="8"/>
      <c r="N214" s="126"/>
      <c r="O214" s="321"/>
      <c r="P214" s="3"/>
      <c r="Q214" s="3"/>
      <c r="R214" s="295"/>
    </row>
    <row r="215" spans="1:18" ht="15.75" customHeight="1" x14ac:dyDescent="0.2">
      <c r="A215" s="2"/>
      <c r="B215" s="9"/>
      <c r="C215" s="3"/>
      <c r="D215" s="3"/>
      <c r="E215" s="3"/>
      <c r="F215" s="3"/>
      <c r="G215" s="79"/>
      <c r="H215" s="3"/>
      <c r="I215" s="8"/>
      <c r="J215" s="8"/>
      <c r="K215" s="8"/>
      <c r="L215" s="8"/>
      <c r="M215" s="8"/>
      <c r="N215" s="126"/>
      <c r="O215" s="321"/>
      <c r="P215" s="3"/>
      <c r="Q215" s="3"/>
      <c r="R215" s="295"/>
    </row>
    <row r="216" spans="1:18" ht="45" customHeight="1" x14ac:dyDescent="0.2">
      <c r="A216" s="2"/>
      <c r="B216" s="9"/>
      <c r="C216" s="3"/>
      <c r="D216" s="3"/>
      <c r="E216" s="3"/>
      <c r="F216" s="3"/>
      <c r="G216" s="79"/>
      <c r="H216" s="3"/>
      <c r="I216" s="8"/>
      <c r="J216" s="8"/>
      <c r="K216" s="8"/>
      <c r="L216" s="8"/>
      <c r="M216" s="8"/>
      <c r="N216" s="126"/>
      <c r="O216" s="321"/>
      <c r="P216" s="3"/>
      <c r="Q216" s="3"/>
      <c r="R216" s="295"/>
    </row>
    <row r="217" spans="1:18" ht="15.75" customHeight="1" x14ac:dyDescent="0.2">
      <c r="A217" s="2"/>
      <c r="B217" s="9"/>
      <c r="C217" s="3"/>
      <c r="D217" s="3"/>
      <c r="E217" s="3"/>
      <c r="F217" s="3"/>
      <c r="G217" s="79"/>
      <c r="H217" s="3"/>
      <c r="I217" s="8"/>
      <c r="J217" s="8"/>
      <c r="K217" s="8"/>
      <c r="L217" s="8"/>
      <c r="M217" s="8"/>
      <c r="N217" s="126"/>
      <c r="O217" s="321"/>
      <c r="P217" s="3"/>
      <c r="Q217" s="3"/>
      <c r="R217" s="295"/>
    </row>
    <row r="218" spans="1:18" ht="15.75" customHeight="1" x14ac:dyDescent="0.2">
      <c r="A218" s="2"/>
      <c r="B218" s="9"/>
      <c r="C218" s="3"/>
      <c r="D218" s="3"/>
      <c r="E218" s="3"/>
      <c r="F218" s="3"/>
      <c r="G218" s="79"/>
      <c r="H218" s="3"/>
      <c r="I218" s="8"/>
      <c r="J218" s="8"/>
      <c r="K218" s="8"/>
      <c r="L218" s="8"/>
      <c r="M218" s="8"/>
      <c r="N218" s="126"/>
      <c r="O218" s="321"/>
      <c r="P218" s="3"/>
      <c r="Q218" s="3"/>
      <c r="R218" s="295"/>
    </row>
    <row r="219" spans="1:18" ht="15.75" customHeight="1" x14ac:dyDescent="0.2">
      <c r="A219" s="2"/>
      <c r="B219" s="9"/>
      <c r="C219" s="3"/>
      <c r="D219" s="3"/>
      <c r="E219" s="3"/>
      <c r="F219" s="3"/>
      <c r="G219" s="79"/>
      <c r="H219" s="3"/>
      <c r="I219" s="8"/>
      <c r="J219" s="8"/>
      <c r="K219" s="8"/>
      <c r="L219" s="8"/>
      <c r="M219" s="8"/>
      <c r="N219" s="126"/>
      <c r="O219" s="321"/>
      <c r="P219" s="3"/>
      <c r="Q219" s="3"/>
      <c r="R219" s="295"/>
    </row>
    <row r="220" spans="1:18" ht="15.75" customHeight="1" x14ac:dyDescent="0.2">
      <c r="A220" s="2"/>
      <c r="B220" s="9"/>
      <c r="C220" s="3"/>
      <c r="D220" s="3"/>
      <c r="E220" s="3"/>
      <c r="F220" s="3"/>
      <c r="G220" s="79"/>
      <c r="H220" s="3"/>
      <c r="I220" s="8"/>
      <c r="J220" s="8"/>
      <c r="K220" s="8"/>
      <c r="L220" s="8"/>
      <c r="M220" s="8"/>
      <c r="N220" s="126"/>
      <c r="O220" s="321"/>
      <c r="P220" s="3"/>
      <c r="Q220" s="3"/>
      <c r="R220" s="295"/>
    </row>
    <row r="221" spans="1:18" ht="15.75" customHeight="1" x14ac:dyDescent="0.2">
      <c r="A221" s="2"/>
      <c r="B221" s="9"/>
      <c r="C221" s="3"/>
      <c r="D221" s="3"/>
      <c r="E221" s="3"/>
      <c r="F221" s="3"/>
      <c r="G221" s="79"/>
      <c r="H221" s="3"/>
      <c r="I221" s="8"/>
      <c r="J221" s="8"/>
      <c r="K221" s="8"/>
      <c r="L221" s="8"/>
      <c r="M221" s="8"/>
      <c r="N221" s="126"/>
      <c r="O221" s="321"/>
      <c r="P221" s="3"/>
      <c r="Q221" s="3"/>
      <c r="R221" s="295"/>
    </row>
    <row r="222" spans="1:18" ht="15.75" customHeight="1" x14ac:dyDescent="0.2">
      <c r="A222" s="2"/>
      <c r="B222" s="9"/>
      <c r="C222" s="3"/>
      <c r="D222" s="3"/>
      <c r="E222" s="3"/>
      <c r="F222" s="3"/>
      <c r="G222" s="79"/>
      <c r="H222" s="3"/>
      <c r="I222" s="8"/>
      <c r="J222" s="8"/>
      <c r="K222" s="8"/>
      <c r="L222" s="8"/>
      <c r="M222" s="8"/>
      <c r="N222" s="126"/>
      <c r="O222" s="321"/>
      <c r="P222" s="3"/>
      <c r="Q222" s="3"/>
      <c r="R222" s="295"/>
    </row>
    <row r="223" spans="1:18" ht="15.75" customHeight="1" x14ac:dyDescent="0.2">
      <c r="A223" s="2"/>
      <c r="B223" s="9"/>
      <c r="C223" s="3"/>
      <c r="D223" s="3"/>
      <c r="E223" s="3"/>
      <c r="F223" s="3"/>
      <c r="G223" s="79"/>
      <c r="H223" s="3"/>
      <c r="I223" s="8"/>
      <c r="J223" s="8"/>
      <c r="K223" s="8"/>
      <c r="L223" s="8"/>
      <c r="M223" s="8"/>
      <c r="N223" s="126"/>
      <c r="O223" s="321"/>
      <c r="P223" s="3"/>
      <c r="Q223" s="3"/>
      <c r="R223" s="295"/>
    </row>
    <row r="224" spans="1:18" ht="15.75" customHeight="1" x14ac:dyDescent="0.2">
      <c r="A224" s="2"/>
      <c r="B224" s="9"/>
      <c r="C224" s="3"/>
      <c r="D224" s="3"/>
      <c r="E224" s="3"/>
      <c r="F224" s="3"/>
      <c r="G224" s="79"/>
      <c r="H224" s="3"/>
      <c r="I224" s="8"/>
      <c r="J224" s="8"/>
      <c r="K224" s="8"/>
      <c r="L224" s="8"/>
      <c r="M224" s="8"/>
      <c r="N224" s="126"/>
      <c r="O224" s="321"/>
      <c r="P224" s="3"/>
      <c r="Q224" s="3"/>
      <c r="R224" s="295"/>
    </row>
    <row r="225" spans="1:18" ht="15.75" customHeight="1" x14ac:dyDescent="0.2">
      <c r="A225" s="2"/>
      <c r="B225" s="9"/>
      <c r="C225" s="3"/>
      <c r="D225" s="3"/>
      <c r="E225" s="3"/>
      <c r="F225" s="3"/>
      <c r="G225" s="79"/>
      <c r="H225" s="3"/>
      <c r="I225" s="8"/>
      <c r="J225" s="8"/>
      <c r="K225" s="8"/>
      <c r="L225" s="8"/>
      <c r="M225" s="8"/>
      <c r="N225" s="126"/>
      <c r="O225" s="321"/>
      <c r="P225" s="3"/>
      <c r="Q225" s="3"/>
      <c r="R225" s="295"/>
    </row>
    <row r="226" spans="1:18" ht="15.75" customHeight="1" x14ac:dyDescent="0.2">
      <c r="A226" s="2"/>
      <c r="B226" s="9"/>
      <c r="C226" s="3"/>
      <c r="D226" s="3"/>
      <c r="E226" s="3"/>
      <c r="F226" s="3"/>
      <c r="G226" s="79"/>
      <c r="H226" s="3"/>
      <c r="I226" s="8"/>
      <c r="J226" s="8"/>
      <c r="K226" s="8"/>
      <c r="L226" s="8"/>
      <c r="M226" s="8"/>
      <c r="N226" s="126"/>
      <c r="O226" s="321"/>
      <c r="P226" s="3"/>
      <c r="Q226" s="3"/>
      <c r="R226" s="295"/>
    </row>
    <row r="227" spans="1:18" ht="15.75" customHeight="1" x14ac:dyDescent="0.2">
      <c r="A227" s="2"/>
      <c r="B227" s="9"/>
      <c r="C227" s="3"/>
      <c r="D227" s="3"/>
      <c r="E227" s="3"/>
      <c r="F227" s="3"/>
      <c r="G227" s="79"/>
      <c r="H227" s="3"/>
      <c r="I227" s="8"/>
      <c r="J227" s="8"/>
      <c r="K227" s="8"/>
      <c r="L227" s="8"/>
      <c r="M227" s="8"/>
      <c r="N227" s="126"/>
      <c r="O227" s="321"/>
      <c r="P227" s="3"/>
      <c r="Q227" s="3"/>
      <c r="R227" s="295"/>
    </row>
    <row r="228" spans="1:18" ht="15.75" customHeight="1" x14ac:dyDescent="0.2">
      <c r="A228" s="2"/>
      <c r="B228" s="9"/>
      <c r="C228" s="3"/>
      <c r="D228" s="3"/>
      <c r="E228" s="3"/>
      <c r="F228" s="3"/>
      <c r="G228" s="79"/>
      <c r="H228" s="3"/>
      <c r="I228" s="8"/>
      <c r="J228" s="8"/>
      <c r="K228" s="8"/>
      <c r="L228" s="8"/>
      <c r="M228" s="8"/>
      <c r="N228" s="126"/>
      <c r="O228" s="321"/>
      <c r="P228" s="3"/>
      <c r="Q228" s="3"/>
      <c r="R228" s="295"/>
    </row>
    <row r="229" spans="1:18" ht="15.75" customHeight="1" x14ac:dyDescent="0.2">
      <c r="A229" s="2"/>
      <c r="B229" s="9"/>
      <c r="C229" s="3"/>
      <c r="D229" s="3"/>
      <c r="E229" s="3"/>
      <c r="F229" s="3"/>
      <c r="G229" s="79"/>
      <c r="H229" s="3"/>
      <c r="I229" s="8"/>
      <c r="J229" s="8"/>
      <c r="K229" s="8"/>
      <c r="L229" s="8"/>
      <c r="M229" s="8"/>
      <c r="N229" s="126"/>
      <c r="O229" s="321"/>
      <c r="P229" s="3"/>
      <c r="Q229" s="3"/>
      <c r="R229" s="295"/>
    </row>
    <row r="230" spans="1:18" ht="15.75" customHeight="1" x14ac:dyDescent="0.2">
      <c r="A230" s="2"/>
      <c r="B230" s="9"/>
      <c r="C230" s="3"/>
      <c r="D230" s="3"/>
      <c r="E230" s="3"/>
      <c r="F230" s="3"/>
      <c r="G230" s="79"/>
      <c r="H230" s="3"/>
      <c r="I230" s="8"/>
      <c r="J230" s="8"/>
      <c r="K230" s="8"/>
      <c r="L230" s="8"/>
      <c r="M230" s="8"/>
      <c r="N230" s="126"/>
      <c r="O230" s="321"/>
      <c r="P230" s="3"/>
      <c r="Q230" s="3"/>
      <c r="R230" s="295"/>
    </row>
    <row r="231" spans="1:18" ht="34.5" customHeight="1" x14ac:dyDescent="0.2">
      <c r="A231" s="2"/>
      <c r="B231" s="9"/>
      <c r="C231" s="3"/>
      <c r="D231" s="3"/>
      <c r="E231" s="3"/>
      <c r="F231" s="3"/>
      <c r="G231" s="79"/>
      <c r="H231" s="3"/>
      <c r="I231" s="8"/>
      <c r="J231" s="8"/>
      <c r="K231" s="8"/>
      <c r="L231" s="8"/>
      <c r="M231" s="8"/>
      <c r="N231" s="126"/>
      <c r="O231" s="321"/>
      <c r="P231" s="3"/>
      <c r="Q231" s="3"/>
      <c r="R231" s="295"/>
    </row>
    <row r="232" spans="1:18" ht="15.75" customHeight="1" x14ac:dyDescent="0.2">
      <c r="A232" s="2"/>
      <c r="B232" s="9"/>
      <c r="C232" s="3"/>
      <c r="D232" s="3"/>
      <c r="E232" s="3"/>
      <c r="F232" s="3"/>
      <c r="G232" s="79"/>
      <c r="H232" s="3"/>
      <c r="I232" s="8"/>
      <c r="J232" s="8"/>
      <c r="K232" s="8"/>
      <c r="L232" s="8"/>
      <c r="M232" s="8"/>
      <c r="N232" s="126"/>
      <c r="O232" s="321"/>
      <c r="P232" s="3"/>
      <c r="Q232" s="3"/>
      <c r="R232" s="295"/>
    </row>
    <row r="233" spans="1:18" ht="15.75" customHeight="1" x14ac:dyDescent="0.2">
      <c r="A233" s="2"/>
      <c r="B233" s="9"/>
      <c r="C233" s="3"/>
      <c r="D233" s="3"/>
      <c r="E233" s="3"/>
      <c r="F233" s="3"/>
      <c r="G233" s="79"/>
      <c r="H233" s="3"/>
      <c r="I233" s="8"/>
      <c r="J233" s="8"/>
      <c r="K233" s="8"/>
      <c r="L233" s="8"/>
      <c r="M233" s="8"/>
      <c r="N233" s="126"/>
      <c r="O233" s="321"/>
      <c r="P233" s="3"/>
      <c r="Q233" s="3"/>
      <c r="R233" s="295"/>
    </row>
    <row r="234" spans="1:18" ht="30.75" customHeight="1" x14ac:dyDescent="0.2">
      <c r="A234" s="2"/>
      <c r="B234" s="9"/>
      <c r="C234" s="3"/>
      <c r="D234" s="3"/>
      <c r="E234" s="3"/>
      <c r="F234" s="3"/>
      <c r="G234" s="79"/>
      <c r="H234" s="3"/>
      <c r="I234" s="8"/>
      <c r="J234" s="8"/>
      <c r="K234" s="8"/>
      <c r="L234" s="8"/>
      <c r="M234" s="8"/>
      <c r="N234" s="126"/>
      <c r="O234" s="321"/>
      <c r="P234" s="3"/>
      <c r="Q234" s="3"/>
      <c r="R234" s="295"/>
    </row>
    <row r="235" spans="1:18" ht="15.75" customHeight="1" x14ac:dyDescent="0.2">
      <c r="A235" s="2"/>
      <c r="B235" s="9"/>
      <c r="C235" s="3"/>
      <c r="D235" s="3"/>
      <c r="E235" s="3"/>
      <c r="F235" s="3"/>
      <c r="G235" s="79"/>
      <c r="H235" s="3"/>
      <c r="I235" s="8"/>
      <c r="J235" s="8"/>
      <c r="K235" s="8"/>
      <c r="L235" s="8"/>
      <c r="M235" s="8"/>
      <c r="N235" s="126"/>
      <c r="O235" s="321"/>
      <c r="P235" s="3"/>
      <c r="Q235" s="3"/>
      <c r="R235" s="295"/>
    </row>
    <row r="236" spans="1:18" ht="33" customHeight="1" x14ac:dyDescent="0.2">
      <c r="A236" s="2"/>
      <c r="B236" s="9"/>
      <c r="C236" s="3"/>
      <c r="D236" s="3"/>
      <c r="E236" s="3"/>
      <c r="F236" s="3"/>
      <c r="G236" s="79"/>
      <c r="H236" s="3"/>
      <c r="I236" s="8"/>
      <c r="J236" s="8"/>
      <c r="K236" s="8"/>
      <c r="L236" s="8"/>
      <c r="M236" s="8"/>
      <c r="N236" s="126"/>
      <c r="O236" s="321"/>
      <c r="P236" s="3"/>
      <c r="Q236" s="3"/>
      <c r="R236" s="295"/>
    </row>
    <row r="237" spans="1:18" ht="15.75" customHeight="1" x14ac:dyDescent="0.2">
      <c r="A237" s="2"/>
      <c r="B237" s="9"/>
      <c r="C237" s="3"/>
      <c r="D237" s="3"/>
      <c r="E237" s="3"/>
      <c r="F237" s="3"/>
      <c r="G237" s="79"/>
      <c r="H237" s="3"/>
      <c r="I237" s="8"/>
      <c r="J237" s="8"/>
      <c r="K237" s="8"/>
      <c r="L237" s="8"/>
      <c r="M237" s="8"/>
      <c r="N237" s="126"/>
      <c r="O237" s="321"/>
      <c r="P237" s="3"/>
      <c r="Q237" s="3"/>
      <c r="R237" s="295"/>
    </row>
    <row r="238" spans="1:18" ht="15.75" customHeight="1" x14ac:dyDescent="0.2">
      <c r="A238" s="2"/>
      <c r="B238" s="9"/>
      <c r="C238" s="3"/>
      <c r="D238" s="3"/>
      <c r="E238" s="3"/>
      <c r="F238" s="3"/>
      <c r="G238" s="79"/>
      <c r="H238" s="3"/>
      <c r="I238" s="8"/>
      <c r="J238" s="8"/>
      <c r="K238" s="8"/>
      <c r="L238" s="8"/>
      <c r="M238" s="8"/>
      <c r="N238" s="126"/>
      <c r="O238" s="321"/>
      <c r="P238" s="3"/>
      <c r="Q238" s="3"/>
      <c r="R238" s="295"/>
    </row>
    <row r="239" spans="1:18" ht="15.75" customHeight="1" x14ac:dyDescent="0.2">
      <c r="A239" s="2"/>
      <c r="B239" s="9"/>
      <c r="C239" s="3"/>
      <c r="D239" s="3"/>
      <c r="E239" s="3"/>
      <c r="F239" s="3"/>
      <c r="G239" s="79"/>
      <c r="H239" s="3"/>
      <c r="I239" s="8"/>
      <c r="J239" s="8"/>
      <c r="K239" s="8"/>
      <c r="L239" s="8"/>
      <c r="M239" s="8"/>
      <c r="N239" s="126"/>
      <c r="O239" s="321"/>
      <c r="P239" s="3"/>
      <c r="Q239" s="3"/>
      <c r="R239" s="295"/>
    </row>
    <row r="240" spans="1:18" ht="15.75" customHeight="1" x14ac:dyDescent="0.2">
      <c r="A240" s="2"/>
      <c r="B240" s="9"/>
      <c r="C240" s="3"/>
      <c r="D240" s="3"/>
      <c r="E240" s="3"/>
      <c r="F240" s="3"/>
      <c r="G240" s="79"/>
      <c r="H240" s="3"/>
      <c r="I240" s="8"/>
      <c r="J240" s="8"/>
      <c r="K240" s="8"/>
      <c r="L240" s="8"/>
      <c r="M240" s="8"/>
      <c r="N240" s="126"/>
      <c r="O240" s="321"/>
      <c r="P240" s="3"/>
      <c r="Q240" s="3"/>
      <c r="R240" s="295"/>
    </row>
    <row r="241" spans="1:18" ht="15.75" customHeight="1" x14ac:dyDescent="0.2">
      <c r="A241" s="2"/>
      <c r="B241" s="9"/>
      <c r="C241" s="3"/>
      <c r="D241" s="3"/>
      <c r="E241" s="3"/>
      <c r="F241" s="3"/>
      <c r="G241" s="79"/>
      <c r="H241" s="3"/>
      <c r="I241" s="8"/>
      <c r="J241" s="8"/>
      <c r="K241" s="8"/>
      <c r="L241" s="8"/>
      <c r="M241" s="8"/>
      <c r="N241" s="126"/>
      <c r="O241" s="321"/>
      <c r="P241" s="3"/>
      <c r="Q241" s="3"/>
      <c r="R241" s="295"/>
    </row>
    <row r="242" spans="1:18" ht="60.75" customHeight="1" x14ac:dyDescent="0.2">
      <c r="A242" s="2"/>
      <c r="B242" s="9"/>
      <c r="C242" s="3"/>
      <c r="D242" s="3"/>
      <c r="E242" s="3"/>
      <c r="F242" s="3"/>
      <c r="G242" s="79"/>
      <c r="H242" s="3"/>
      <c r="I242" s="8"/>
      <c r="J242" s="8"/>
      <c r="K242" s="8"/>
      <c r="L242" s="8"/>
      <c r="M242" s="8"/>
      <c r="N242" s="126"/>
      <c r="O242" s="321"/>
      <c r="P242" s="3"/>
      <c r="Q242" s="3"/>
      <c r="R242" s="295"/>
    </row>
    <row r="243" spans="1:18" ht="15.75" customHeight="1" x14ac:dyDescent="0.2">
      <c r="A243" s="2"/>
      <c r="B243" s="9"/>
      <c r="C243" s="3"/>
      <c r="D243" s="3"/>
      <c r="E243" s="3"/>
      <c r="F243" s="3"/>
      <c r="G243" s="79"/>
      <c r="H243" s="3"/>
      <c r="I243" s="8"/>
      <c r="J243" s="8"/>
      <c r="K243" s="8"/>
      <c r="L243" s="8"/>
      <c r="M243" s="8"/>
      <c r="N243" s="126"/>
      <c r="O243" s="321"/>
      <c r="P243" s="3"/>
      <c r="Q243" s="3"/>
      <c r="R243" s="295"/>
    </row>
    <row r="244" spans="1:18" ht="47.25" customHeight="1" x14ac:dyDescent="0.2">
      <c r="A244" s="2"/>
      <c r="B244" s="9"/>
      <c r="C244" s="3"/>
      <c r="D244" s="3"/>
      <c r="E244" s="3"/>
      <c r="F244" s="3"/>
      <c r="G244" s="79"/>
      <c r="H244" s="3"/>
      <c r="I244" s="8"/>
      <c r="J244" s="8"/>
      <c r="K244" s="8"/>
      <c r="L244" s="8"/>
      <c r="M244" s="8"/>
      <c r="N244" s="126"/>
      <c r="O244" s="321"/>
      <c r="P244" s="3"/>
      <c r="Q244" s="3"/>
      <c r="R244" s="295"/>
    </row>
    <row r="245" spans="1:18" ht="30" customHeight="1" x14ac:dyDescent="0.2">
      <c r="A245" s="2"/>
      <c r="B245" s="9"/>
      <c r="C245" s="3"/>
      <c r="D245" s="3"/>
      <c r="E245" s="3"/>
      <c r="F245" s="3"/>
      <c r="G245" s="79"/>
      <c r="H245" s="3"/>
      <c r="I245" s="8"/>
      <c r="J245" s="8"/>
      <c r="K245" s="8"/>
      <c r="L245" s="8"/>
      <c r="M245" s="8"/>
      <c r="N245" s="126"/>
      <c r="O245" s="321"/>
      <c r="P245" s="3"/>
      <c r="Q245" s="3"/>
      <c r="R245" s="295"/>
    </row>
    <row r="246" spans="1:18" ht="47.25" customHeight="1" x14ac:dyDescent="0.2">
      <c r="A246" s="2"/>
      <c r="B246" s="9"/>
      <c r="C246" s="3"/>
      <c r="D246" s="3"/>
      <c r="E246" s="3"/>
      <c r="F246" s="3"/>
      <c r="G246" s="79"/>
      <c r="H246" s="3"/>
      <c r="I246" s="8"/>
      <c r="J246" s="8"/>
      <c r="K246" s="8"/>
      <c r="L246" s="8"/>
      <c r="M246" s="8"/>
      <c r="N246" s="126"/>
      <c r="O246" s="321"/>
      <c r="P246" s="3"/>
      <c r="Q246" s="3"/>
      <c r="R246" s="295"/>
    </row>
    <row r="247" spans="1:18" ht="15.75" customHeight="1" x14ac:dyDescent="0.2">
      <c r="A247" s="2"/>
      <c r="B247" s="9"/>
      <c r="C247" s="3"/>
      <c r="D247" s="3"/>
      <c r="E247" s="3"/>
      <c r="F247" s="3"/>
      <c r="G247" s="79"/>
      <c r="H247" s="3"/>
      <c r="I247" s="8"/>
      <c r="J247" s="8"/>
      <c r="K247" s="8"/>
      <c r="L247" s="8"/>
      <c r="M247" s="8"/>
      <c r="N247" s="126"/>
      <c r="O247" s="321"/>
      <c r="P247" s="3"/>
      <c r="Q247" s="3"/>
      <c r="R247" s="295"/>
    </row>
    <row r="248" spans="1:18" ht="34.5" customHeight="1" x14ac:dyDescent="0.2">
      <c r="A248" s="2"/>
      <c r="B248" s="9"/>
      <c r="C248" s="3"/>
      <c r="D248" s="3"/>
      <c r="E248" s="3"/>
      <c r="F248" s="3"/>
      <c r="G248" s="79"/>
      <c r="H248" s="3"/>
      <c r="I248" s="8"/>
      <c r="J248" s="8"/>
      <c r="K248" s="8"/>
      <c r="L248" s="8"/>
      <c r="M248" s="8"/>
      <c r="N248" s="126"/>
      <c r="O248" s="321"/>
      <c r="P248" s="3"/>
      <c r="Q248" s="3"/>
      <c r="R248" s="295"/>
    </row>
    <row r="249" spans="1:18" ht="15.75" customHeight="1" x14ac:dyDescent="0.2">
      <c r="A249" s="2"/>
      <c r="B249" s="9"/>
      <c r="C249" s="3"/>
      <c r="D249" s="3"/>
      <c r="E249" s="3"/>
      <c r="F249" s="3"/>
      <c r="G249" s="79"/>
      <c r="H249" s="3"/>
      <c r="I249" s="8"/>
      <c r="J249" s="8"/>
      <c r="K249" s="8"/>
      <c r="L249" s="8"/>
      <c r="M249" s="8"/>
      <c r="N249" s="126"/>
      <c r="O249" s="321"/>
      <c r="P249" s="3"/>
      <c r="Q249" s="3"/>
      <c r="R249" s="295"/>
    </row>
    <row r="250" spans="1:18" ht="15.75" customHeight="1" x14ac:dyDescent="0.2">
      <c r="A250" s="2"/>
      <c r="B250" s="9"/>
      <c r="C250" s="3"/>
      <c r="D250" s="3"/>
      <c r="E250" s="3"/>
      <c r="F250" s="3"/>
      <c r="G250" s="79"/>
      <c r="H250" s="3"/>
      <c r="I250" s="8"/>
      <c r="J250" s="8"/>
      <c r="K250" s="8"/>
      <c r="L250" s="8"/>
      <c r="M250" s="8"/>
      <c r="N250" s="126"/>
      <c r="O250" s="321"/>
      <c r="P250" s="3"/>
      <c r="Q250" s="3"/>
      <c r="R250" s="295"/>
    </row>
    <row r="251" spans="1:18" ht="15.75" customHeight="1" x14ac:dyDescent="0.2">
      <c r="A251" s="2"/>
      <c r="B251" s="9"/>
      <c r="C251" s="3"/>
      <c r="D251" s="3"/>
      <c r="E251" s="3"/>
      <c r="F251" s="3"/>
      <c r="G251" s="79"/>
      <c r="H251" s="3"/>
      <c r="I251" s="8"/>
      <c r="J251" s="8"/>
      <c r="K251" s="8"/>
      <c r="L251" s="8"/>
      <c r="M251" s="8"/>
      <c r="N251" s="126"/>
      <c r="O251" s="321"/>
      <c r="P251" s="3"/>
      <c r="Q251" s="3"/>
      <c r="R251" s="295"/>
    </row>
    <row r="252" spans="1:18" ht="15.75" customHeight="1" x14ac:dyDescent="0.2">
      <c r="A252" s="2"/>
      <c r="B252" s="9"/>
      <c r="C252" s="3"/>
      <c r="D252" s="3"/>
      <c r="E252" s="3"/>
      <c r="F252" s="3"/>
      <c r="G252" s="79"/>
      <c r="H252" s="3"/>
      <c r="I252" s="8"/>
      <c r="J252" s="8"/>
      <c r="K252" s="8"/>
      <c r="L252" s="8"/>
      <c r="M252" s="8"/>
      <c r="N252" s="126"/>
      <c r="O252" s="321"/>
      <c r="P252" s="3"/>
      <c r="Q252" s="3"/>
      <c r="R252" s="295"/>
    </row>
    <row r="253" spans="1:18" ht="15.75" customHeight="1" x14ac:dyDescent="0.2">
      <c r="A253" s="2"/>
      <c r="B253" s="9"/>
      <c r="C253" s="3"/>
      <c r="D253" s="3"/>
      <c r="E253" s="3"/>
      <c r="F253" s="3"/>
      <c r="G253" s="79"/>
      <c r="H253" s="3"/>
      <c r="I253" s="8"/>
      <c r="J253" s="8"/>
      <c r="K253" s="8"/>
      <c r="L253" s="8"/>
      <c r="M253" s="8"/>
      <c r="N253" s="126"/>
      <c r="O253" s="321"/>
      <c r="P253" s="3"/>
      <c r="Q253" s="3"/>
      <c r="R253" s="295"/>
    </row>
    <row r="254" spans="1:18" ht="30" customHeight="1" x14ac:dyDescent="0.2">
      <c r="A254" s="2"/>
      <c r="B254" s="9"/>
      <c r="C254" s="3"/>
      <c r="D254" s="3"/>
      <c r="E254" s="3"/>
      <c r="F254" s="3"/>
      <c r="G254" s="79"/>
      <c r="H254" s="3"/>
      <c r="I254" s="8"/>
      <c r="J254" s="8"/>
      <c r="K254" s="8"/>
      <c r="L254" s="8"/>
      <c r="M254" s="8"/>
      <c r="N254" s="126"/>
      <c r="O254" s="321"/>
      <c r="P254" s="3"/>
      <c r="Q254" s="3"/>
      <c r="R254" s="295"/>
    </row>
    <row r="255" spans="1:18" ht="15.75" customHeight="1" x14ac:dyDescent="0.2">
      <c r="A255" s="2"/>
      <c r="B255" s="9"/>
      <c r="C255" s="3"/>
      <c r="D255" s="3"/>
      <c r="E255" s="3"/>
      <c r="F255" s="3"/>
      <c r="G255" s="79"/>
      <c r="H255" s="3"/>
      <c r="I255" s="8"/>
      <c r="J255" s="8"/>
      <c r="K255" s="8"/>
      <c r="L255" s="8"/>
      <c r="M255" s="8"/>
      <c r="N255" s="126"/>
      <c r="O255" s="321"/>
      <c r="P255" s="3"/>
      <c r="Q255" s="3"/>
      <c r="R255" s="295"/>
    </row>
    <row r="256" spans="1:18" ht="15.75" customHeight="1" x14ac:dyDescent="0.2">
      <c r="A256" s="2"/>
      <c r="B256" s="9"/>
      <c r="C256" s="3"/>
      <c r="D256" s="3"/>
      <c r="E256" s="3"/>
      <c r="F256" s="3"/>
      <c r="G256" s="79"/>
      <c r="H256" s="3"/>
      <c r="I256" s="8"/>
      <c r="J256" s="8"/>
      <c r="K256" s="8"/>
      <c r="L256" s="8"/>
      <c r="M256" s="8"/>
      <c r="N256" s="126"/>
      <c r="O256" s="321"/>
      <c r="P256" s="3"/>
      <c r="Q256" s="3"/>
      <c r="R256" s="295"/>
    </row>
    <row r="257" spans="1:19" ht="15.75" customHeight="1" x14ac:dyDescent="0.2">
      <c r="A257" s="2"/>
      <c r="B257" s="9"/>
      <c r="C257" s="3"/>
      <c r="D257" s="3"/>
      <c r="E257" s="3"/>
      <c r="F257" s="3"/>
      <c r="G257" s="79"/>
      <c r="H257" s="3"/>
      <c r="I257" s="8"/>
      <c r="J257" s="8"/>
      <c r="K257" s="8"/>
      <c r="L257" s="8"/>
      <c r="M257" s="8"/>
      <c r="N257" s="126"/>
      <c r="O257" s="321"/>
      <c r="P257" s="3"/>
      <c r="Q257" s="3"/>
      <c r="R257" s="295"/>
    </row>
    <row r="258" spans="1:19" ht="45.75" customHeight="1" x14ac:dyDescent="0.2">
      <c r="A258" s="2"/>
      <c r="B258" s="9"/>
      <c r="C258" s="3"/>
      <c r="D258" s="3"/>
      <c r="E258" s="3"/>
      <c r="F258" s="3"/>
      <c r="G258" s="79"/>
      <c r="H258" s="3"/>
      <c r="I258" s="8"/>
      <c r="J258" s="8"/>
      <c r="K258" s="8"/>
      <c r="L258" s="8"/>
      <c r="M258" s="8"/>
      <c r="N258" s="126"/>
      <c r="O258" s="321"/>
      <c r="P258" s="3"/>
      <c r="Q258" s="3"/>
      <c r="R258" s="295"/>
    </row>
    <row r="259" spans="1:19" ht="15.75" customHeight="1" x14ac:dyDescent="0.2">
      <c r="A259" s="2"/>
      <c r="B259" s="9"/>
      <c r="C259" s="3"/>
      <c r="D259" s="3"/>
      <c r="E259" s="3"/>
      <c r="F259" s="3"/>
      <c r="G259" s="79"/>
      <c r="H259" s="3"/>
      <c r="I259" s="8"/>
      <c r="J259" s="8"/>
      <c r="K259" s="8"/>
      <c r="L259" s="8"/>
      <c r="M259" s="8"/>
      <c r="N259" s="126"/>
      <c r="O259" s="321"/>
      <c r="P259" s="3"/>
      <c r="Q259" s="3"/>
      <c r="R259" s="295"/>
    </row>
    <row r="260" spans="1:19" ht="15.75" customHeight="1" x14ac:dyDescent="0.2">
      <c r="A260" s="2"/>
      <c r="B260" s="9"/>
      <c r="C260" s="3"/>
      <c r="D260" s="3"/>
      <c r="E260" s="3"/>
      <c r="F260" s="3"/>
      <c r="G260" s="79"/>
      <c r="H260" s="3"/>
      <c r="I260" s="8"/>
      <c r="J260" s="8"/>
      <c r="K260" s="8"/>
      <c r="L260" s="8"/>
      <c r="M260" s="8"/>
      <c r="N260" s="126"/>
      <c r="O260" s="321"/>
      <c r="P260" s="3"/>
      <c r="Q260" s="3"/>
      <c r="R260" s="295"/>
    </row>
    <row r="261" spans="1:19" ht="15.75" customHeight="1" x14ac:dyDescent="0.2">
      <c r="A261" s="2"/>
      <c r="B261" s="9"/>
      <c r="C261" s="3"/>
      <c r="D261" s="3"/>
      <c r="E261" s="3"/>
      <c r="F261" s="3"/>
      <c r="G261" s="79"/>
      <c r="H261" s="3"/>
      <c r="I261" s="8"/>
      <c r="J261" s="8"/>
      <c r="K261" s="8"/>
      <c r="L261" s="8"/>
      <c r="M261" s="8"/>
      <c r="N261" s="126"/>
      <c r="O261" s="321"/>
      <c r="P261" s="3"/>
      <c r="Q261" s="3"/>
      <c r="R261" s="295"/>
    </row>
    <row r="262" spans="1:19" ht="15.75" customHeight="1" x14ac:dyDescent="0.2">
      <c r="A262" s="2"/>
      <c r="B262" s="9"/>
      <c r="C262" s="3"/>
      <c r="D262" s="3"/>
      <c r="E262" s="3"/>
      <c r="F262" s="3"/>
      <c r="G262" s="79"/>
      <c r="H262" s="3"/>
      <c r="I262" s="8"/>
      <c r="J262" s="8"/>
      <c r="K262" s="8"/>
      <c r="L262" s="8"/>
      <c r="M262" s="8"/>
      <c r="N262" s="126"/>
      <c r="O262" s="321"/>
      <c r="P262" s="3"/>
      <c r="Q262" s="3"/>
      <c r="R262" s="295"/>
    </row>
    <row r="263" spans="1:19" s="199" customFormat="1" ht="32.25" customHeight="1" x14ac:dyDescent="0.2">
      <c r="A263" s="2"/>
      <c r="B263" s="9"/>
      <c r="C263" s="3"/>
      <c r="D263" s="3"/>
      <c r="E263" s="3"/>
      <c r="F263" s="3"/>
      <c r="G263" s="79"/>
      <c r="H263" s="3"/>
      <c r="I263" s="8"/>
      <c r="J263" s="8"/>
      <c r="K263" s="8"/>
      <c r="L263" s="8"/>
      <c r="M263" s="8"/>
      <c r="N263" s="126"/>
      <c r="O263" s="321"/>
      <c r="P263" s="3"/>
      <c r="Q263" s="3"/>
      <c r="R263" s="295"/>
      <c r="S263" s="335"/>
    </row>
    <row r="264" spans="1:19" s="199" customFormat="1" ht="15.75" customHeight="1" x14ac:dyDescent="0.2">
      <c r="A264" s="2"/>
      <c r="B264" s="9"/>
      <c r="C264" s="3"/>
      <c r="D264" s="3"/>
      <c r="E264" s="3"/>
      <c r="F264" s="3"/>
      <c r="G264" s="79"/>
      <c r="H264" s="3"/>
      <c r="I264" s="8"/>
      <c r="J264" s="8"/>
      <c r="K264" s="8"/>
      <c r="L264" s="8"/>
      <c r="M264" s="8"/>
      <c r="N264" s="126"/>
      <c r="O264" s="321"/>
      <c r="P264" s="3"/>
      <c r="Q264" s="3"/>
      <c r="R264" s="295"/>
      <c r="S264" s="335"/>
    </row>
    <row r="265" spans="1:19" s="43" customFormat="1" ht="31.5" customHeight="1" x14ac:dyDescent="0.2">
      <c r="A265" s="2"/>
      <c r="B265" s="9"/>
      <c r="C265" s="3"/>
      <c r="D265" s="3"/>
      <c r="E265" s="3"/>
      <c r="F265" s="3"/>
      <c r="G265" s="79"/>
      <c r="H265" s="3"/>
      <c r="I265" s="8"/>
      <c r="J265" s="8"/>
      <c r="K265" s="8"/>
      <c r="L265" s="8"/>
      <c r="M265" s="8"/>
      <c r="N265" s="126"/>
      <c r="O265" s="321"/>
      <c r="P265" s="3"/>
      <c r="Q265" s="3"/>
      <c r="R265" s="295"/>
      <c r="S265" s="336"/>
    </row>
    <row r="266" spans="1:19" ht="15.75" customHeight="1" x14ac:dyDescent="0.2">
      <c r="A266" s="2"/>
      <c r="B266" s="9"/>
      <c r="C266" s="3"/>
      <c r="D266" s="3"/>
      <c r="E266" s="3"/>
      <c r="F266" s="3"/>
      <c r="G266" s="79"/>
      <c r="H266" s="3"/>
      <c r="I266" s="8"/>
      <c r="J266" s="8"/>
      <c r="K266" s="8"/>
      <c r="L266" s="8"/>
      <c r="M266" s="8"/>
      <c r="N266" s="126"/>
      <c r="O266" s="321"/>
      <c r="P266" s="3"/>
      <c r="Q266" s="3"/>
      <c r="R266" s="295"/>
    </row>
    <row r="267" spans="1:19" s="43" customFormat="1" ht="15.75" customHeight="1" x14ac:dyDescent="0.2">
      <c r="A267" s="2"/>
      <c r="B267" s="9"/>
      <c r="C267" s="3"/>
      <c r="D267" s="3"/>
      <c r="E267" s="3"/>
      <c r="F267" s="3"/>
      <c r="G267" s="79"/>
      <c r="H267" s="3"/>
      <c r="I267" s="8"/>
      <c r="J267" s="8"/>
      <c r="K267" s="8"/>
      <c r="L267" s="8"/>
      <c r="M267" s="8"/>
      <c r="N267" s="126"/>
      <c r="O267" s="321"/>
      <c r="P267" s="3"/>
      <c r="Q267" s="3"/>
      <c r="R267" s="295"/>
      <c r="S267" s="336"/>
    </row>
    <row r="268" spans="1:19" ht="25.5" customHeight="1" x14ac:dyDescent="0.2">
      <c r="A268" s="2"/>
      <c r="B268" s="9"/>
      <c r="C268" s="3"/>
      <c r="D268" s="3"/>
      <c r="E268" s="3"/>
      <c r="F268" s="3"/>
      <c r="G268" s="79"/>
      <c r="H268" s="3"/>
      <c r="I268" s="8"/>
      <c r="J268" s="8"/>
      <c r="K268" s="8"/>
      <c r="L268" s="8"/>
      <c r="M268" s="8"/>
      <c r="N268" s="126"/>
      <c r="O268" s="321"/>
      <c r="P268" s="3"/>
      <c r="Q268" s="3"/>
      <c r="R268" s="295"/>
    </row>
    <row r="269" spans="1:19" s="43" customFormat="1" ht="15.75" customHeight="1" x14ac:dyDescent="0.2">
      <c r="A269" s="2"/>
      <c r="B269" s="9"/>
      <c r="C269" s="3"/>
      <c r="D269" s="3"/>
      <c r="E269" s="3"/>
      <c r="F269" s="3"/>
      <c r="G269" s="79"/>
      <c r="H269" s="3"/>
      <c r="I269" s="8"/>
      <c r="J269" s="8"/>
      <c r="K269" s="8"/>
      <c r="L269" s="8"/>
      <c r="M269" s="8"/>
      <c r="N269" s="126"/>
      <c r="O269" s="321"/>
      <c r="P269" s="3"/>
      <c r="Q269" s="3"/>
      <c r="R269" s="295"/>
      <c r="S269" s="336"/>
    </row>
    <row r="270" spans="1:19" s="43" customFormat="1" ht="25.5" customHeight="1" x14ac:dyDescent="0.2">
      <c r="A270" s="2"/>
      <c r="B270" s="9"/>
      <c r="C270" s="3"/>
      <c r="D270" s="3"/>
      <c r="E270" s="3"/>
      <c r="F270" s="3"/>
      <c r="G270" s="79"/>
      <c r="H270" s="3"/>
      <c r="I270" s="8"/>
      <c r="J270" s="8"/>
      <c r="K270" s="8"/>
      <c r="L270" s="8"/>
      <c r="M270" s="8"/>
      <c r="N270" s="126"/>
      <c r="O270" s="321"/>
      <c r="P270" s="3"/>
      <c r="Q270" s="3"/>
      <c r="R270" s="295"/>
      <c r="S270" s="336"/>
    </row>
    <row r="271" spans="1:19" s="43" customFormat="1" ht="15.75" customHeight="1" x14ac:dyDescent="0.2">
      <c r="A271" s="2"/>
      <c r="B271" s="9"/>
      <c r="C271" s="3"/>
      <c r="D271" s="3"/>
      <c r="E271" s="3"/>
      <c r="F271" s="3"/>
      <c r="G271" s="79"/>
      <c r="H271" s="3"/>
      <c r="I271" s="8"/>
      <c r="J271" s="8"/>
      <c r="K271" s="8"/>
      <c r="L271" s="8"/>
      <c r="M271" s="8"/>
      <c r="N271" s="126"/>
      <c r="O271" s="321"/>
      <c r="P271" s="3"/>
      <c r="Q271" s="3"/>
      <c r="R271" s="295"/>
      <c r="S271" s="336"/>
    </row>
    <row r="272" spans="1:19" ht="15.75" customHeight="1" x14ac:dyDescent="0.2">
      <c r="A272" s="2"/>
      <c r="B272" s="9"/>
      <c r="C272" s="3"/>
      <c r="D272" s="3"/>
      <c r="E272" s="3"/>
      <c r="F272" s="3"/>
      <c r="G272" s="79"/>
      <c r="H272" s="3"/>
      <c r="I272" s="8"/>
      <c r="J272" s="8"/>
      <c r="K272" s="8"/>
      <c r="L272" s="8"/>
      <c r="M272" s="8"/>
      <c r="N272" s="126"/>
      <c r="O272" s="321"/>
      <c r="P272" s="3"/>
      <c r="Q272" s="3"/>
      <c r="R272" s="295"/>
    </row>
    <row r="273" spans="1:19" ht="15.75" customHeight="1" x14ac:dyDescent="0.2">
      <c r="A273" s="2"/>
      <c r="B273" s="9"/>
      <c r="C273" s="3"/>
      <c r="D273" s="3"/>
      <c r="E273" s="3"/>
      <c r="F273" s="3"/>
      <c r="G273" s="79"/>
      <c r="H273" s="3"/>
      <c r="I273" s="8"/>
      <c r="J273" s="8"/>
      <c r="K273" s="8"/>
      <c r="L273" s="8"/>
      <c r="M273" s="8"/>
      <c r="N273" s="126"/>
      <c r="O273" s="321"/>
      <c r="P273" s="3"/>
      <c r="Q273" s="3"/>
      <c r="R273" s="295"/>
    </row>
    <row r="274" spans="1:19" ht="15.75" customHeight="1" x14ac:dyDescent="0.2">
      <c r="A274" s="2"/>
      <c r="B274" s="9"/>
      <c r="C274" s="3"/>
      <c r="D274" s="3"/>
      <c r="E274" s="3"/>
      <c r="F274" s="3"/>
      <c r="G274" s="79"/>
      <c r="H274" s="3"/>
      <c r="I274" s="8"/>
      <c r="J274" s="8"/>
      <c r="K274" s="8"/>
      <c r="L274" s="8"/>
      <c r="M274" s="8"/>
      <c r="N274" s="126"/>
      <c r="O274" s="321"/>
      <c r="P274" s="3"/>
      <c r="Q274" s="3"/>
      <c r="R274" s="295"/>
    </row>
    <row r="275" spans="1:19" s="43" customFormat="1" ht="15.75" customHeight="1" x14ac:dyDescent="0.2">
      <c r="A275" s="2"/>
      <c r="B275" s="9"/>
      <c r="C275" s="3"/>
      <c r="D275" s="3"/>
      <c r="E275" s="3"/>
      <c r="F275" s="3"/>
      <c r="G275" s="79"/>
      <c r="H275" s="3"/>
      <c r="I275" s="8"/>
      <c r="J275" s="8"/>
      <c r="K275" s="8"/>
      <c r="L275" s="8"/>
      <c r="M275" s="8"/>
      <c r="N275" s="126"/>
      <c r="O275" s="321"/>
      <c r="P275" s="3"/>
      <c r="Q275" s="3"/>
      <c r="R275" s="295"/>
      <c r="S275" s="336"/>
    </row>
    <row r="276" spans="1:19" ht="15.75" customHeight="1" x14ac:dyDescent="0.2">
      <c r="A276" s="2"/>
      <c r="B276" s="9"/>
      <c r="C276" s="3"/>
      <c r="D276" s="3"/>
      <c r="E276" s="3"/>
      <c r="F276" s="3"/>
      <c r="G276" s="79"/>
      <c r="H276" s="3"/>
      <c r="I276" s="8"/>
      <c r="J276" s="8"/>
      <c r="K276" s="8"/>
      <c r="L276" s="8"/>
      <c r="M276" s="8"/>
      <c r="N276" s="126"/>
      <c r="O276" s="321"/>
      <c r="P276" s="3"/>
      <c r="Q276" s="3"/>
      <c r="R276" s="295"/>
    </row>
    <row r="277" spans="1:19" ht="15.75" customHeight="1" x14ac:dyDescent="0.2">
      <c r="A277" s="2"/>
      <c r="B277" s="9"/>
      <c r="C277" s="3"/>
      <c r="D277" s="3"/>
      <c r="E277" s="3"/>
      <c r="F277" s="3"/>
      <c r="G277" s="79"/>
      <c r="H277" s="3"/>
      <c r="I277" s="8"/>
      <c r="J277" s="8"/>
      <c r="K277" s="8"/>
      <c r="L277" s="8"/>
      <c r="M277" s="8"/>
      <c r="N277" s="126"/>
      <c r="O277" s="321"/>
      <c r="P277" s="3"/>
      <c r="Q277" s="3"/>
      <c r="R277" s="295"/>
    </row>
    <row r="278" spans="1:19" ht="15.75" customHeight="1" x14ac:dyDescent="0.2">
      <c r="A278" s="2"/>
      <c r="B278" s="9"/>
      <c r="C278" s="3"/>
      <c r="D278" s="3"/>
      <c r="E278" s="3"/>
      <c r="F278" s="3"/>
      <c r="G278" s="79"/>
      <c r="H278" s="3"/>
      <c r="I278" s="8"/>
      <c r="J278" s="8"/>
      <c r="K278" s="8"/>
      <c r="L278" s="8"/>
      <c r="M278" s="8"/>
      <c r="N278" s="126"/>
      <c r="O278" s="321"/>
      <c r="P278" s="3"/>
      <c r="Q278" s="3"/>
      <c r="R278" s="295"/>
    </row>
    <row r="279" spans="1:19" s="43" customFormat="1" ht="15.75" customHeight="1" x14ac:dyDescent="0.2">
      <c r="A279" s="2"/>
      <c r="B279" s="9"/>
      <c r="C279" s="3"/>
      <c r="D279" s="3"/>
      <c r="E279" s="3"/>
      <c r="F279" s="3"/>
      <c r="G279" s="79"/>
      <c r="H279" s="3"/>
      <c r="I279" s="8"/>
      <c r="J279" s="8"/>
      <c r="K279" s="8"/>
      <c r="L279" s="8"/>
      <c r="M279" s="8"/>
      <c r="N279" s="126"/>
      <c r="O279" s="321"/>
      <c r="P279" s="3"/>
      <c r="Q279" s="3"/>
      <c r="R279" s="295"/>
      <c r="S279" s="336"/>
    </row>
    <row r="280" spans="1:19" s="43" customFormat="1" ht="15.75" customHeight="1" x14ac:dyDescent="0.2">
      <c r="A280" s="2"/>
      <c r="B280" s="9"/>
      <c r="C280" s="3"/>
      <c r="D280" s="3"/>
      <c r="E280" s="3"/>
      <c r="F280" s="3"/>
      <c r="G280" s="79"/>
      <c r="H280" s="3"/>
      <c r="I280" s="8"/>
      <c r="J280" s="8"/>
      <c r="K280" s="8"/>
      <c r="L280" s="8"/>
      <c r="M280" s="8"/>
      <c r="N280" s="126"/>
      <c r="O280" s="321"/>
      <c r="P280" s="3"/>
      <c r="Q280" s="3"/>
      <c r="R280" s="295"/>
      <c r="S280" s="336"/>
    </row>
    <row r="281" spans="1:19" s="43" customFormat="1" ht="15.75" customHeight="1" x14ac:dyDescent="0.2">
      <c r="A281" s="2"/>
      <c r="B281" s="9"/>
      <c r="C281" s="3"/>
      <c r="D281" s="3"/>
      <c r="E281" s="3"/>
      <c r="F281" s="3"/>
      <c r="G281" s="79"/>
      <c r="H281" s="3"/>
      <c r="I281" s="8"/>
      <c r="J281" s="8"/>
      <c r="K281" s="8"/>
      <c r="L281" s="8"/>
      <c r="M281" s="8"/>
      <c r="N281" s="126"/>
      <c r="O281" s="321"/>
      <c r="P281" s="3"/>
      <c r="Q281" s="3"/>
      <c r="R281" s="295"/>
      <c r="S281" s="336"/>
    </row>
    <row r="282" spans="1:19" s="43" customFormat="1" ht="15.75" customHeight="1" x14ac:dyDescent="0.2">
      <c r="A282" s="2"/>
      <c r="B282" s="9"/>
      <c r="C282" s="3"/>
      <c r="D282" s="3"/>
      <c r="E282" s="3"/>
      <c r="F282" s="3"/>
      <c r="G282" s="79"/>
      <c r="H282" s="3"/>
      <c r="I282" s="8"/>
      <c r="J282" s="8"/>
      <c r="K282" s="8"/>
      <c r="L282" s="8"/>
      <c r="M282" s="8"/>
      <c r="N282" s="126"/>
      <c r="O282" s="321"/>
      <c r="P282" s="3"/>
      <c r="Q282" s="3"/>
      <c r="R282" s="295"/>
      <c r="S282" s="336"/>
    </row>
    <row r="283" spans="1:19" s="43" customFormat="1" ht="15.75" customHeight="1" x14ac:dyDescent="0.2">
      <c r="A283" s="2"/>
      <c r="B283" s="9"/>
      <c r="C283" s="3"/>
      <c r="D283" s="3"/>
      <c r="E283" s="3"/>
      <c r="F283" s="3"/>
      <c r="G283" s="79"/>
      <c r="H283" s="3"/>
      <c r="I283" s="8"/>
      <c r="J283" s="8"/>
      <c r="K283" s="8"/>
      <c r="L283" s="8"/>
      <c r="M283" s="8"/>
      <c r="N283" s="126"/>
      <c r="O283" s="321"/>
      <c r="P283" s="3"/>
      <c r="Q283" s="3"/>
      <c r="R283" s="295"/>
      <c r="S283" s="336"/>
    </row>
    <row r="284" spans="1:19" s="43" customFormat="1" ht="15.75" customHeight="1" x14ac:dyDescent="0.2">
      <c r="A284" s="2"/>
      <c r="B284" s="9"/>
      <c r="C284" s="3"/>
      <c r="D284" s="3"/>
      <c r="E284" s="3"/>
      <c r="F284" s="3"/>
      <c r="G284" s="79"/>
      <c r="H284" s="3"/>
      <c r="I284" s="8"/>
      <c r="J284" s="8"/>
      <c r="K284" s="8"/>
      <c r="L284" s="8"/>
      <c r="M284" s="8"/>
      <c r="N284" s="126"/>
      <c r="O284" s="321"/>
      <c r="P284" s="3"/>
      <c r="Q284" s="3"/>
      <c r="R284" s="295"/>
      <c r="S284" s="336"/>
    </row>
    <row r="285" spans="1:19" s="43" customFormat="1" ht="15.75" customHeight="1" x14ac:dyDescent="0.2">
      <c r="A285" s="2"/>
      <c r="B285" s="9"/>
      <c r="C285" s="3"/>
      <c r="D285" s="3"/>
      <c r="E285" s="3"/>
      <c r="F285" s="3"/>
      <c r="G285" s="79"/>
      <c r="H285" s="3"/>
      <c r="I285" s="8"/>
      <c r="J285" s="8"/>
      <c r="K285" s="8"/>
      <c r="L285" s="8"/>
      <c r="M285" s="8"/>
      <c r="N285" s="126"/>
      <c r="O285" s="321"/>
      <c r="P285" s="3"/>
      <c r="Q285" s="3"/>
      <c r="R285" s="295"/>
      <c r="S285" s="336"/>
    </row>
    <row r="286" spans="1:19" s="43" customFormat="1" ht="15.75" customHeight="1" x14ac:dyDescent="0.2">
      <c r="A286" s="2"/>
      <c r="B286" s="9"/>
      <c r="C286" s="3"/>
      <c r="D286" s="3"/>
      <c r="E286" s="3"/>
      <c r="F286" s="3"/>
      <c r="G286" s="79"/>
      <c r="H286" s="3"/>
      <c r="I286" s="8"/>
      <c r="J286" s="8"/>
      <c r="K286" s="8"/>
      <c r="L286" s="8"/>
      <c r="M286" s="8"/>
      <c r="N286" s="126"/>
      <c r="O286" s="321"/>
      <c r="P286" s="3"/>
      <c r="Q286" s="3"/>
      <c r="R286" s="295"/>
      <c r="S286" s="336"/>
    </row>
    <row r="287" spans="1:19" s="43" customFormat="1" ht="15.75" customHeight="1" x14ac:dyDescent="0.2">
      <c r="A287" s="2"/>
      <c r="B287" s="9"/>
      <c r="C287" s="3"/>
      <c r="D287" s="3"/>
      <c r="E287" s="3"/>
      <c r="F287" s="3"/>
      <c r="G287" s="79"/>
      <c r="H287" s="3"/>
      <c r="I287" s="8"/>
      <c r="J287" s="8"/>
      <c r="K287" s="8"/>
      <c r="L287" s="8"/>
      <c r="M287" s="8"/>
      <c r="N287" s="126"/>
      <c r="O287" s="321"/>
      <c r="P287" s="3"/>
      <c r="Q287" s="3"/>
      <c r="R287" s="295"/>
      <c r="S287" s="336"/>
    </row>
    <row r="288" spans="1:19" s="43" customFormat="1" ht="29.25" customHeight="1" x14ac:dyDescent="0.2">
      <c r="A288" s="2"/>
      <c r="B288" s="9"/>
      <c r="C288" s="3"/>
      <c r="D288" s="3"/>
      <c r="E288" s="3"/>
      <c r="F288" s="3"/>
      <c r="G288" s="79"/>
      <c r="H288" s="3"/>
      <c r="I288" s="8"/>
      <c r="J288" s="8"/>
      <c r="K288" s="8"/>
      <c r="L288" s="8"/>
      <c r="M288" s="8"/>
      <c r="N288" s="126"/>
      <c r="O288" s="321"/>
      <c r="P288" s="3"/>
      <c r="Q288" s="3"/>
      <c r="R288" s="295"/>
      <c r="S288" s="336"/>
    </row>
    <row r="289" spans="1:19" s="43" customFormat="1" ht="15.75" customHeight="1" x14ac:dyDescent="0.2">
      <c r="A289" s="2"/>
      <c r="B289" s="9"/>
      <c r="C289" s="3"/>
      <c r="D289" s="3"/>
      <c r="E289" s="3"/>
      <c r="F289" s="3"/>
      <c r="G289" s="79"/>
      <c r="H289" s="3"/>
      <c r="I289" s="8"/>
      <c r="J289" s="8"/>
      <c r="K289" s="8"/>
      <c r="L289" s="8"/>
      <c r="M289" s="8"/>
      <c r="N289" s="126"/>
      <c r="O289" s="321"/>
      <c r="P289" s="3"/>
      <c r="Q289" s="3"/>
      <c r="R289" s="295"/>
      <c r="S289" s="336"/>
    </row>
    <row r="290" spans="1:19" s="43" customFormat="1" ht="15.75" customHeight="1" x14ac:dyDescent="0.2">
      <c r="A290" s="2"/>
      <c r="B290" s="9"/>
      <c r="C290" s="3"/>
      <c r="D290" s="3"/>
      <c r="E290" s="3"/>
      <c r="F290" s="3"/>
      <c r="G290" s="79"/>
      <c r="H290" s="3"/>
      <c r="I290" s="8"/>
      <c r="J290" s="8"/>
      <c r="K290" s="8"/>
      <c r="L290" s="8"/>
      <c r="M290" s="8"/>
      <c r="N290" s="126"/>
      <c r="O290" s="321"/>
      <c r="P290" s="3"/>
      <c r="Q290" s="3"/>
      <c r="R290" s="295"/>
      <c r="S290" s="336"/>
    </row>
    <row r="291" spans="1:19" s="43" customFormat="1" ht="15.75" customHeight="1" x14ac:dyDescent="0.2">
      <c r="A291" s="2"/>
      <c r="B291" s="9"/>
      <c r="C291" s="3"/>
      <c r="D291" s="3"/>
      <c r="E291" s="3"/>
      <c r="F291" s="3"/>
      <c r="G291" s="79"/>
      <c r="H291" s="3"/>
      <c r="I291" s="8"/>
      <c r="J291" s="8"/>
      <c r="K291" s="8"/>
      <c r="L291" s="8"/>
      <c r="M291" s="8"/>
      <c r="N291" s="126"/>
      <c r="O291" s="321"/>
      <c r="P291" s="3"/>
      <c r="Q291" s="3"/>
      <c r="R291" s="295"/>
      <c r="S291" s="336"/>
    </row>
    <row r="292" spans="1:19" s="43" customFormat="1" ht="15.75" customHeight="1" x14ac:dyDescent="0.2">
      <c r="A292" s="2"/>
      <c r="B292" s="9"/>
      <c r="C292" s="3"/>
      <c r="D292" s="3"/>
      <c r="E292" s="3"/>
      <c r="F292" s="3"/>
      <c r="G292" s="79"/>
      <c r="H292" s="3"/>
      <c r="I292" s="8"/>
      <c r="J292" s="8"/>
      <c r="K292" s="8"/>
      <c r="L292" s="8"/>
      <c r="M292" s="8"/>
      <c r="N292" s="126"/>
      <c r="O292" s="321"/>
      <c r="P292" s="3"/>
      <c r="Q292" s="3"/>
      <c r="R292" s="295"/>
      <c r="S292" s="336"/>
    </row>
    <row r="293" spans="1:19" s="43" customFormat="1" ht="25.5" customHeight="1" x14ac:dyDescent="0.2">
      <c r="A293" s="2"/>
      <c r="B293" s="9"/>
      <c r="C293" s="3"/>
      <c r="D293" s="3"/>
      <c r="E293" s="3"/>
      <c r="F293" s="3"/>
      <c r="G293" s="79"/>
      <c r="H293" s="3"/>
      <c r="I293" s="8"/>
      <c r="J293" s="8"/>
      <c r="K293" s="8"/>
      <c r="L293" s="8"/>
      <c r="M293" s="8"/>
      <c r="N293" s="126"/>
      <c r="O293" s="321"/>
      <c r="P293" s="3"/>
      <c r="Q293" s="3"/>
      <c r="R293" s="295"/>
      <c r="S293" s="336"/>
    </row>
    <row r="294" spans="1:19" s="43" customFormat="1" ht="15.75" customHeight="1" x14ac:dyDescent="0.2">
      <c r="A294" s="2"/>
      <c r="B294" s="9"/>
      <c r="C294" s="3"/>
      <c r="D294"/>
      <c r="E294" s="3"/>
      <c r="F294" s="3"/>
      <c r="G294" s="79"/>
      <c r="H294" s="3"/>
      <c r="I294" s="8"/>
      <c r="J294" s="8"/>
      <c r="K294" s="8"/>
      <c r="L294" s="8"/>
      <c r="M294" s="8"/>
      <c r="N294" s="126"/>
      <c r="O294" s="321"/>
      <c r="P294" s="3"/>
      <c r="Q294" s="3"/>
      <c r="R294" s="295"/>
      <c r="S294" s="336"/>
    </row>
    <row r="295" spans="1:19" s="43" customFormat="1" ht="15.75" customHeight="1" x14ac:dyDescent="0.2">
      <c r="A295"/>
      <c r="B295"/>
      <c r="C295" s="46"/>
      <c r="D295"/>
      <c r="E295"/>
      <c r="F295"/>
      <c r="G295" s="290"/>
      <c r="H295"/>
      <c r="I295" s="243"/>
      <c r="J295" s="243"/>
      <c r="K295" s="243"/>
      <c r="L295" s="243"/>
      <c r="M295" s="243"/>
      <c r="N295" s="293"/>
      <c r="O295" s="323"/>
      <c r="P295"/>
      <c r="Q295" s="46"/>
      <c r="R295" s="127"/>
      <c r="S295" s="336"/>
    </row>
    <row r="296" spans="1:19" s="43" customFormat="1" ht="27" customHeight="1" x14ac:dyDescent="0.2">
      <c r="A296"/>
      <c r="B296"/>
      <c r="C296" s="46"/>
      <c r="D296"/>
      <c r="E296"/>
      <c r="F296"/>
      <c r="G296" s="290"/>
      <c r="H296"/>
      <c r="I296" s="243"/>
      <c r="J296" s="243"/>
      <c r="K296" s="243"/>
      <c r="L296" s="243"/>
      <c r="M296" s="243"/>
      <c r="N296" s="293"/>
      <c r="O296" s="323"/>
      <c r="P296"/>
      <c r="Q296" s="46"/>
      <c r="R296" s="127"/>
      <c r="S296" s="336"/>
    </row>
    <row r="297" spans="1:19" s="43" customFormat="1" ht="15.75" customHeight="1" x14ac:dyDescent="0.2">
      <c r="A297"/>
      <c r="B297"/>
      <c r="C297" s="46"/>
      <c r="D297"/>
      <c r="E297"/>
      <c r="F297"/>
      <c r="G297" s="290"/>
      <c r="H297"/>
      <c r="I297" s="243"/>
      <c r="J297" s="243"/>
      <c r="K297" s="243"/>
      <c r="L297" s="243"/>
      <c r="M297" s="243"/>
      <c r="N297" s="293"/>
      <c r="O297" s="323"/>
      <c r="P297"/>
      <c r="Q297" s="46"/>
      <c r="R297" s="127"/>
      <c r="S297" s="336"/>
    </row>
    <row r="298" spans="1:19" s="43" customFormat="1" ht="15.75" customHeight="1" x14ac:dyDescent="0.2">
      <c r="A298"/>
      <c r="B298"/>
      <c r="C298" s="46"/>
      <c r="D298"/>
      <c r="E298"/>
      <c r="F298"/>
      <c r="G298" s="290"/>
      <c r="H298"/>
      <c r="I298" s="243"/>
      <c r="J298" s="243"/>
      <c r="K298" s="243"/>
      <c r="L298" s="243"/>
      <c r="M298" s="243"/>
      <c r="N298" s="293"/>
      <c r="O298" s="323"/>
      <c r="P298"/>
      <c r="Q298" s="46"/>
      <c r="R298" s="127"/>
      <c r="S298" s="336"/>
    </row>
    <row r="299" spans="1:19" s="43" customFormat="1" ht="15.75" customHeight="1" x14ac:dyDescent="0.2">
      <c r="A299"/>
      <c r="B299"/>
      <c r="C299" s="46"/>
      <c r="D299"/>
      <c r="E299"/>
      <c r="F299"/>
      <c r="G299" s="290"/>
      <c r="H299"/>
      <c r="I299" s="243"/>
      <c r="J299" s="243"/>
      <c r="K299" s="243"/>
      <c r="L299" s="243"/>
      <c r="M299" s="243"/>
      <c r="N299" s="293"/>
      <c r="O299" s="323"/>
      <c r="P299"/>
      <c r="Q299" s="46"/>
      <c r="R299" s="127"/>
      <c r="S299" s="336"/>
    </row>
    <row r="300" spans="1:19" s="43" customFormat="1" ht="15.75" customHeight="1" x14ac:dyDescent="0.2">
      <c r="A300"/>
      <c r="B300"/>
      <c r="C300" s="46"/>
      <c r="D300"/>
      <c r="E300"/>
      <c r="F300"/>
      <c r="G300" s="290"/>
      <c r="H300"/>
      <c r="I300" s="243"/>
      <c r="J300" s="243"/>
      <c r="K300" s="243"/>
      <c r="L300" s="243"/>
      <c r="M300" s="243"/>
      <c r="N300" s="293"/>
      <c r="O300" s="323"/>
      <c r="P300"/>
      <c r="Q300" s="46"/>
      <c r="R300" s="127"/>
      <c r="S300" s="336"/>
    </row>
    <row r="301" spans="1:19" s="43" customFormat="1" ht="15.75" customHeight="1" x14ac:dyDescent="0.2">
      <c r="A301"/>
      <c r="B301"/>
      <c r="C301" s="46"/>
      <c r="D301"/>
      <c r="E301"/>
      <c r="F301"/>
      <c r="G301" s="290"/>
      <c r="H301"/>
      <c r="I301" s="243"/>
      <c r="J301" s="243"/>
      <c r="K301" s="243"/>
      <c r="L301" s="243"/>
      <c r="M301" s="243"/>
      <c r="N301" s="293"/>
      <c r="O301" s="323"/>
      <c r="P301"/>
      <c r="Q301" s="46"/>
      <c r="R301" s="127"/>
      <c r="S301" s="336"/>
    </row>
    <row r="302" spans="1:19" s="43" customFormat="1" ht="15.75" customHeight="1" x14ac:dyDescent="0.2">
      <c r="A302"/>
      <c r="B302"/>
      <c r="C302" s="46"/>
      <c r="D302"/>
      <c r="E302"/>
      <c r="F302"/>
      <c r="G302" s="290"/>
      <c r="H302"/>
      <c r="I302" s="243"/>
      <c r="J302" s="243"/>
      <c r="K302" s="243"/>
      <c r="L302" s="243"/>
      <c r="M302" s="243"/>
      <c r="N302" s="293"/>
      <c r="O302" s="323"/>
      <c r="P302"/>
      <c r="Q302" s="46"/>
      <c r="R302" s="127"/>
      <c r="S302" s="336"/>
    </row>
    <row r="303" spans="1:19" s="43" customFormat="1" ht="15.75" customHeight="1" x14ac:dyDescent="0.2">
      <c r="A303"/>
      <c r="B303"/>
      <c r="C303" s="46"/>
      <c r="D303"/>
      <c r="E303"/>
      <c r="F303"/>
      <c r="G303" s="290"/>
      <c r="H303"/>
      <c r="I303" s="243"/>
      <c r="J303" s="243"/>
      <c r="K303" s="243"/>
      <c r="L303" s="243"/>
      <c r="M303" s="243"/>
      <c r="N303" s="293"/>
      <c r="O303" s="323"/>
      <c r="P303"/>
      <c r="Q303" s="46"/>
      <c r="R303" s="127"/>
      <c r="S303" s="336"/>
    </row>
    <row r="304" spans="1:19" s="43" customFormat="1" ht="15.75" customHeight="1" x14ac:dyDescent="0.2">
      <c r="A304"/>
      <c r="B304"/>
      <c r="C304" s="46"/>
      <c r="D304"/>
      <c r="E304"/>
      <c r="F304"/>
      <c r="G304" s="290"/>
      <c r="H304"/>
      <c r="I304" s="243"/>
      <c r="J304" s="243"/>
      <c r="K304" s="243"/>
      <c r="L304" s="243"/>
      <c r="M304" s="243"/>
      <c r="N304" s="293"/>
      <c r="O304" s="323"/>
      <c r="P304"/>
      <c r="Q304" s="46"/>
      <c r="R304" s="127"/>
      <c r="S304" s="336"/>
    </row>
    <row r="305" spans="1:19" s="43" customFormat="1" ht="15.75" customHeight="1" x14ac:dyDescent="0.2">
      <c r="A305"/>
      <c r="B305"/>
      <c r="C305" s="46"/>
      <c r="D305"/>
      <c r="E305"/>
      <c r="F305"/>
      <c r="G305" s="290"/>
      <c r="H305"/>
      <c r="I305" s="243"/>
      <c r="J305" s="243"/>
      <c r="K305" s="243"/>
      <c r="L305" s="243"/>
      <c r="M305" s="243"/>
      <c r="N305" s="293"/>
      <c r="O305" s="323"/>
      <c r="P305"/>
      <c r="Q305" s="46"/>
      <c r="R305" s="127"/>
      <c r="S305" s="336"/>
    </row>
    <row r="306" spans="1:19" s="43" customFormat="1" ht="15.75" customHeight="1" x14ac:dyDescent="0.2">
      <c r="A306"/>
      <c r="B306"/>
      <c r="C306" s="46"/>
      <c r="D306"/>
      <c r="E306"/>
      <c r="F306"/>
      <c r="G306" s="290"/>
      <c r="H306"/>
      <c r="I306" s="243"/>
      <c r="J306" s="243"/>
      <c r="K306" s="243"/>
      <c r="L306" s="243"/>
      <c r="M306" s="243"/>
      <c r="N306" s="293"/>
      <c r="O306" s="323"/>
      <c r="P306"/>
      <c r="Q306" s="46"/>
      <c r="R306" s="127"/>
      <c r="S306" s="336"/>
    </row>
    <row r="307" spans="1:19" s="43" customFormat="1" ht="15.75" customHeight="1" x14ac:dyDescent="0.2">
      <c r="A307"/>
      <c r="B307"/>
      <c r="C307" s="46"/>
      <c r="D307"/>
      <c r="E307"/>
      <c r="F307"/>
      <c r="G307" s="290"/>
      <c r="H307"/>
      <c r="I307" s="243"/>
      <c r="J307" s="243"/>
      <c r="K307" s="243"/>
      <c r="L307" s="243"/>
      <c r="M307" s="243"/>
      <c r="N307" s="293"/>
      <c r="O307" s="323"/>
      <c r="P307"/>
      <c r="Q307" s="46"/>
      <c r="R307" s="127"/>
      <c r="S307" s="336"/>
    </row>
    <row r="308" spans="1:19" s="43" customFormat="1" ht="15.75" customHeight="1" x14ac:dyDescent="0.2">
      <c r="A308"/>
      <c r="B308"/>
      <c r="C308" s="46"/>
      <c r="D308"/>
      <c r="E308"/>
      <c r="F308"/>
      <c r="G308" s="290"/>
      <c r="H308"/>
      <c r="I308" s="243"/>
      <c r="J308" s="243"/>
      <c r="K308" s="243"/>
      <c r="L308" s="243"/>
      <c r="M308" s="243"/>
      <c r="N308" s="293"/>
      <c r="O308" s="323"/>
      <c r="P308"/>
      <c r="Q308" s="46"/>
      <c r="R308" s="127"/>
      <c r="S308" s="336"/>
    </row>
    <row r="309" spans="1:19" s="43" customFormat="1" ht="15.75" customHeight="1" x14ac:dyDescent="0.2">
      <c r="A309"/>
      <c r="B309"/>
      <c r="C309" s="46"/>
      <c r="D309"/>
      <c r="E309"/>
      <c r="F309"/>
      <c r="G309" s="290"/>
      <c r="H309"/>
      <c r="I309" s="243"/>
      <c r="J309" s="243"/>
      <c r="K309" s="243"/>
      <c r="L309" s="243"/>
      <c r="M309" s="243"/>
      <c r="N309" s="293"/>
      <c r="O309" s="323"/>
      <c r="P309"/>
      <c r="Q309" s="46"/>
      <c r="R309" s="127"/>
      <c r="S309" s="336"/>
    </row>
    <row r="310" spans="1:19" s="43" customFormat="1" ht="15.75" customHeight="1" x14ac:dyDescent="0.2">
      <c r="A310"/>
      <c r="B310"/>
      <c r="C310" s="46"/>
      <c r="D310"/>
      <c r="E310"/>
      <c r="F310"/>
      <c r="G310" s="290"/>
      <c r="H310"/>
      <c r="I310" s="243"/>
      <c r="J310" s="243"/>
      <c r="K310" s="243"/>
      <c r="L310" s="243"/>
      <c r="M310" s="243"/>
      <c r="N310" s="293"/>
      <c r="O310" s="323"/>
      <c r="P310"/>
      <c r="Q310" s="46"/>
      <c r="R310" s="127"/>
      <c r="S310" s="336"/>
    </row>
    <row r="311" spans="1:19" s="43" customFormat="1" ht="15.75" customHeight="1" x14ac:dyDescent="0.2">
      <c r="A311"/>
      <c r="B311"/>
      <c r="C311" s="46"/>
      <c r="D311"/>
      <c r="E311"/>
      <c r="F311"/>
      <c r="G311" s="290"/>
      <c r="H311"/>
      <c r="I311" s="243"/>
      <c r="J311" s="243"/>
      <c r="K311" s="243"/>
      <c r="L311" s="243"/>
      <c r="M311" s="243"/>
      <c r="N311" s="293"/>
      <c r="O311" s="323"/>
      <c r="P311"/>
      <c r="Q311" s="46"/>
      <c r="R311" s="127"/>
      <c r="S311" s="336"/>
    </row>
    <row r="312" spans="1:19" s="43" customFormat="1" ht="15.75" customHeight="1" x14ac:dyDescent="0.2">
      <c r="A312"/>
      <c r="B312"/>
      <c r="C312" s="46"/>
      <c r="D312"/>
      <c r="E312"/>
      <c r="F312"/>
      <c r="G312" s="290"/>
      <c r="H312"/>
      <c r="I312" s="243"/>
      <c r="J312" s="243"/>
      <c r="K312" s="243"/>
      <c r="L312" s="243"/>
      <c r="M312" s="243"/>
      <c r="N312" s="293"/>
      <c r="O312" s="323"/>
      <c r="P312"/>
      <c r="Q312" s="46"/>
      <c r="R312" s="127"/>
      <c r="S312" s="336"/>
    </row>
    <row r="313" spans="1:19" s="43" customFormat="1" ht="15.75" customHeight="1" x14ac:dyDescent="0.2">
      <c r="A313"/>
      <c r="B313"/>
      <c r="C313" s="46"/>
      <c r="D313"/>
      <c r="E313"/>
      <c r="F313"/>
      <c r="G313" s="290"/>
      <c r="H313"/>
      <c r="I313" s="243"/>
      <c r="J313" s="243"/>
      <c r="K313" s="243"/>
      <c r="L313" s="243"/>
      <c r="M313" s="243"/>
      <c r="N313" s="293"/>
      <c r="O313" s="323"/>
      <c r="P313"/>
      <c r="Q313" s="46"/>
      <c r="R313" s="127"/>
      <c r="S313" s="336"/>
    </row>
    <row r="314" spans="1:19" s="43" customFormat="1" ht="15.75" customHeight="1" x14ac:dyDescent="0.2">
      <c r="A314"/>
      <c r="B314"/>
      <c r="C314" s="46"/>
      <c r="D314"/>
      <c r="E314"/>
      <c r="F314"/>
      <c r="G314" s="290"/>
      <c r="H314"/>
      <c r="I314" s="243"/>
      <c r="J314" s="243"/>
      <c r="K314" s="243"/>
      <c r="L314" s="243"/>
      <c r="M314" s="243"/>
      <c r="N314" s="293"/>
      <c r="O314" s="323"/>
      <c r="P314"/>
      <c r="Q314" s="46"/>
      <c r="R314" s="127"/>
      <c r="S314" s="336"/>
    </row>
    <row r="315" spans="1:19" s="43" customFormat="1" ht="15.75" customHeight="1" x14ac:dyDescent="0.2">
      <c r="A315"/>
      <c r="B315"/>
      <c r="C315" s="46"/>
      <c r="D315"/>
      <c r="E315"/>
      <c r="F315"/>
      <c r="G315" s="290"/>
      <c r="H315"/>
      <c r="I315" s="243"/>
      <c r="J315" s="243"/>
      <c r="K315" s="243"/>
      <c r="L315" s="243"/>
      <c r="M315" s="243"/>
      <c r="N315" s="293"/>
      <c r="O315" s="323"/>
      <c r="P315"/>
      <c r="Q315" s="46"/>
      <c r="R315" s="127"/>
      <c r="S315" s="336"/>
    </row>
    <row r="316" spans="1:19" s="43" customFormat="1" ht="15.75" customHeight="1" x14ac:dyDescent="0.2">
      <c r="A316"/>
      <c r="B316"/>
      <c r="C316" s="46"/>
      <c r="D316"/>
      <c r="E316"/>
      <c r="F316"/>
      <c r="G316" s="290"/>
      <c r="H316"/>
      <c r="I316" s="243"/>
      <c r="J316" s="243"/>
      <c r="K316" s="243"/>
      <c r="L316" s="243"/>
      <c r="M316" s="243"/>
      <c r="N316" s="293"/>
      <c r="O316" s="323"/>
      <c r="P316"/>
      <c r="Q316" s="46"/>
      <c r="R316" s="127"/>
      <c r="S316" s="336"/>
    </row>
    <row r="317" spans="1:19" s="43" customFormat="1" ht="15.75" customHeight="1" x14ac:dyDescent="0.2">
      <c r="A317"/>
      <c r="B317"/>
      <c r="C317" s="46"/>
      <c r="D317"/>
      <c r="E317"/>
      <c r="F317"/>
      <c r="G317" s="290"/>
      <c r="H317"/>
      <c r="I317" s="243"/>
      <c r="J317" s="243"/>
      <c r="K317" s="243"/>
      <c r="L317" s="243"/>
      <c r="M317" s="243"/>
      <c r="N317" s="293"/>
      <c r="O317" s="323"/>
      <c r="P317"/>
      <c r="Q317" s="46"/>
      <c r="R317" s="127"/>
      <c r="S317" s="336"/>
    </row>
    <row r="318" spans="1:19" s="43" customFormat="1" ht="15.75" customHeight="1" x14ac:dyDescent="0.2">
      <c r="A318"/>
      <c r="B318"/>
      <c r="C318" s="46"/>
      <c r="D318"/>
      <c r="E318"/>
      <c r="F318"/>
      <c r="G318" s="290"/>
      <c r="H318"/>
      <c r="I318" s="243"/>
      <c r="J318" s="243"/>
      <c r="K318" s="243"/>
      <c r="L318" s="243"/>
      <c r="M318" s="243"/>
      <c r="N318" s="293"/>
      <c r="O318" s="323"/>
      <c r="P318"/>
      <c r="Q318" s="46"/>
      <c r="R318" s="127"/>
      <c r="S318" s="336"/>
    </row>
    <row r="319" spans="1:19" s="43" customFormat="1" ht="15.75" customHeight="1" x14ac:dyDescent="0.2">
      <c r="A319"/>
      <c r="B319"/>
      <c r="C319" s="46"/>
      <c r="D319"/>
      <c r="E319"/>
      <c r="F319"/>
      <c r="G319" s="290"/>
      <c r="H319"/>
      <c r="I319" s="243"/>
      <c r="J319" s="243"/>
      <c r="K319" s="243"/>
      <c r="L319" s="243"/>
      <c r="M319" s="243"/>
      <c r="N319" s="293"/>
      <c r="O319" s="323"/>
      <c r="P319"/>
      <c r="Q319" s="46"/>
      <c r="R319" s="127"/>
      <c r="S319" s="336"/>
    </row>
    <row r="320" spans="1:19" s="43" customFormat="1" ht="15.75" customHeight="1" x14ac:dyDescent="0.2">
      <c r="A320"/>
      <c r="B320"/>
      <c r="C320" s="46"/>
      <c r="D320"/>
      <c r="E320"/>
      <c r="F320"/>
      <c r="G320" s="290"/>
      <c r="H320"/>
      <c r="I320" s="243"/>
      <c r="J320" s="243"/>
      <c r="K320" s="243"/>
      <c r="L320" s="243"/>
      <c r="M320" s="243"/>
      <c r="N320" s="293"/>
      <c r="O320" s="323"/>
      <c r="P320"/>
      <c r="Q320" s="46"/>
      <c r="R320" s="127"/>
      <c r="S320" s="336"/>
    </row>
    <row r="321" spans="1:19" s="43" customFormat="1" ht="15.75" customHeight="1" x14ac:dyDescent="0.2">
      <c r="A321"/>
      <c r="B321"/>
      <c r="C321" s="46"/>
      <c r="D321"/>
      <c r="E321"/>
      <c r="F321"/>
      <c r="G321" s="290"/>
      <c r="H321"/>
      <c r="I321" s="243"/>
      <c r="J321" s="243"/>
      <c r="K321" s="243"/>
      <c r="L321" s="243"/>
      <c r="M321" s="243"/>
      <c r="N321" s="293"/>
      <c r="O321" s="323"/>
      <c r="P321"/>
      <c r="Q321" s="46"/>
      <c r="R321" s="127"/>
      <c r="S321" s="336"/>
    </row>
    <row r="322" spans="1:19" s="43" customFormat="1" ht="15.75" customHeight="1" x14ac:dyDescent="0.2">
      <c r="A322"/>
      <c r="B322"/>
      <c r="C322" s="46"/>
      <c r="D322"/>
      <c r="E322"/>
      <c r="F322"/>
      <c r="G322" s="290"/>
      <c r="H322"/>
      <c r="I322" s="243"/>
      <c r="J322" s="243"/>
      <c r="K322" s="243"/>
      <c r="L322" s="243"/>
      <c r="M322" s="243"/>
      <c r="N322" s="293"/>
      <c r="O322" s="323"/>
      <c r="P322"/>
      <c r="Q322" s="46"/>
      <c r="R322" s="127"/>
      <c r="S322" s="336"/>
    </row>
    <row r="323" spans="1:19" s="43" customFormat="1" ht="26.25" customHeight="1" x14ac:dyDescent="0.2">
      <c r="A323"/>
      <c r="B323"/>
      <c r="C323" s="46"/>
      <c r="D323"/>
      <c r="E323"/>
      <c r="F323"/>
      <c r="G323" s="290"/>
      <c r="H323"/>
      <c r="I323" s="243"/>
      <c r="J323" s="243"/>
      <c r="K323" s="243"/>
      <c r="L323" s="243"/>
      <c r="M323" s="243"/>
      <c r="N323" s="293"/>
      <c r="O323" s="323"/>
      <c r="P323"/>
      <c r="Q323" s="46"/>
      <c r="R323" s="127"/>
      <c r="S323" s="336"/>
    </row>
    <row r="324" spans="1:19" s="43" customFormat="1" ht="15.75" customHeight="1" x14ac:dyDescent="0.2">
      <c r="A324"/>
      <c r="B324"/>
      <c r="C324" s="46"/>
      <c r="D324"/>
      <c r="E324"/>
      <c r="F324"/>
      <c r="G324" s="290"/>
      <c r="H324"/>
      <c r="I324" s="243"/>
      <c r="J324" s="243"/>
      <c r="K324" s="243"/>
      <c r="L324" s="243"/>
      <c r="M324" s="243"/>
      <c r="N324" s="293"/>
      <c r="O324" s="323"/>
      <c r="P324"/>
      <c r="Q324" s="46"/>
      <c r="R324" s="127"/>
      <c r="S324" s="336"/>
    </row>
    <row r="325" spans="1:19" s="43" customFormat="1" ht="15.75" customHeight="1" x14ac:dyDescent="0.2">
      <c r="A325"/>
      <c r="B325"/>
      <c r="C325" s="46"/>
      <c r="D325"/>
      <c r="E325"/>
      <c r="F325"/>
      <c r="G325" s="290"/>
      <c r="H325"/>
      <c r="I325" s="243"/>
      <c r="J325" s="243"/>
      <c r="K325" s="243"/>
      <c r="L325" s="243"/>
      <c r="M325" s="243"/>
      <c r="N325" s="293"/>
      <c r="O325" s="323"/>
      <c r="P325"/>
      <c r="Q325" s="46"/>
      <c r="R325" s="127"/>
      <c r="S325" s="336"/>
    </row>
    <row r="326" spans="1:19" s="43" customFormat="1" ht="15.75" customHeight="1" x14ac:dyDescent="0.2">
      <c r="A326"/>
      <c r="B326"/>
      <c r="C326" s="46"/>
      <c r="D326"/>
      <c r="E326"/>
      <c r="F326"/>
      <c r="G326" s="290"/>
      <c r="H326"/>
      <c r="I326" s="243"/>
      <c r="J326" s="243"/>
      <c r="K326" s="243"/>
      <c r="L326" s="243"/>
      <c r="M326" s="243"/>
      <c r="N326" s="293"/>
      <c r="O326" s="323"/>
      <c r="P326"/>
      <c r="Q326" s="46"/>
      <c r="R326" s="127"/>
      <c r="S326" s="336"/>
    </row>
    <row r="327" spans="1:19" ht="15.75" customHeight="1" x14ac:dyDescent="0.2">
      <c r="O327" s="323"/>
    </row>
    <row r="328" spans="1:19" ht="15.75" customHeight="1" x14ac:dyDescent="0.2">
      <c r="O328" s="323"/>
    </row>
    <row r="329" spans="1:19" ht="15.75" customHeight="1" x14ac:dyDescent="0.2">
      <c r="O329" s="323"/>
    </row>
    <row r="330" spans="1:19" ht="15.75" customHeight="1" x14ac:dyDescent="0.2">
      <c r="O330" s="323"/>
    </row>
    <row r="331" spans="1:19" ht="15.75" customHeight="1" x14ac:dyDescent="0.2">
      <c r="O331" s="323"/>
    </row>
    <row r="332" spans="1:19" s="43" customFormat="1" ht="15.75" customHeight="1" x14ac:dyDescent="0.2">
      <c r="A332"/>
      <c r="B332"/>
      <c r="C332" s="46"/>
      <c r="D332"/>
      <c r="E332"/>
      <c r="F332"/>
      <c r="G332" s="290"/>
      <c r="H332"/>
      <c r="I332" s="243"/>
      <c r="J332" s="243"/>
      <c r="K332" s="243"/>
      <c r="L332" s="243"/>
      <c r="M332" s="243"/>
      <c r="N332" s="293"/>
      <c r="O332" s="323"/>
      <c r="P332"/>
      <c r="Q332" s="46"/>
      <c r="R332" s="127"/>
      <c r="S332" s="336"/>
    </row>
    <row r="333" spans="1:19" ht="15.75" customHeight="1" x14ac:dyDescent="0.2">
      <c r="O333" s="323"/>
    </row>
    <row r="334" spans="1:19" s="43" customFormat="1" ht="15.75" customHeight="1" x14ac:dyDescent="0.2">
      <c r="A334"/>
      <c r="B334"/>
      <c r="C334" s="46"/>
      <c r="D334"/>
      <c r="E334"/>
      <c r="F334"/>
      <c r="G334" s="290"/>
      <c r="H334"/>
      <c r="I334" s="243"/>
      <c r="J334" s="243"/>
      <c r="K334" s="243"/>
      <c r="L334" s="243"/>
      <c r="M334" s="243"/>
      <c r="N334" s="293"/>
      <c r="O334" s="323"/>
      <c r="P334"/>
      <c r="Q334" s="46"/>
      <c r="R334" s="127"/>
      <c r="S334" s="336"/>
    </row>
    <row r="335" spans="1:19" ht="15.75" customHeight="1" x14ac:dyDescent="0.2">
      <c r="O335" s="323"/>
    </row>
    <row r="336" spans="1:19" ht="15.75" customHeight="1" x14ac:dyDescent="0.2">
      <c r="O336" s="323"/>
    </row>
    <row r="337" spans="1:19" ht="15.75" customHeight="1" x14ac:dyDescent="0.2">
      <c r="O337" s="323"/>
    </row>
    <row r="338" spans="1:19" ht="15.75" customHeight="1" x14ac:dyDescent="0.2">
      <c r="O338" s="323"/>
    </row>
    <row r="339" spans="1:19" ht="15.75" customHeight="1" x14ac:dyDescent="0.2">
      <c r="O339" s="323"/>
    </row>
    <row r="340" spans="1:19" ht="15.75" customHeight="1" x14ac:dyDescent="0.2">
      <c r="O340" s="323"/>
    </row>
    <row r="341" spans="1:19" ht="15.75" customHeight="1" x14ac:dyDescent="0.2">
      <c r="O341" s="323"/>
    </row>
    <row r="342" spans="1:19" s="43" customFormat="1" ht="15.75" customHeight="1" x14ac:dyDescent="0.2">
      <c r="A342"/>
      <c r="B342"/>
      <c r="C342" s="46"/>
      <c r="D342"/>
      <c r="E342"/>
      <c r="F342"/>
      <c r="G342" s="290"/>
      <c r="H342"/>
      <c r="I342" s="243"/>
      <c r="J342" s="243"/>
      <c r="K342" s="243"/>
      <c r="L342" s="243"/>
      <c r="M342" s="243"/>
      <c r="N342" s="293"/>
      <c r="O342" s="323"/>
      <c r="P342"/>
      <c r="Q342" s="46"/>
      <c r="R342" s="127"/>
      <c r="S342" s="336"/>
    </row>
    <row r="343" spans="1:19" ht="15.75" customHeight="1" x14ac:dyDescent="0.2">
      <c r="O343" s="323"/>
    </row>
    <row r="344" spans="1:19" ht="15.75" customHeight="1" x14ac:dyDescent="0.2">
      <c r="O344" s="323"/>
    </row>
    <row r="345" spans="1:19" s="43" customFormat="1" ht="41.25" customHeight="1" x14ac:dyDescent="0.2">
      <c r="A345"/>
      <c r="B345"/>
      <c r="C345" s="46"/>
      <c r="D345"/>
      <c r="E345"/>
      <c r="F345"/>
      <c r="G345" s="290"/>
      <c r="H345"/>
      <c r="I345" s="243"/>
      <c r="J345" s="243"/>
      <c r="K345" s="243"/>
      <c r="L345" s="243"/>
      <c r="M345" s="243"/>
      <c r="N345" s="293"/>
      <c r="O345" s="323"/>
      <c r="P345"/>
      <c r="Q345" s="46"/>
      <c r="R345" s="127"/>
      <c r="S345" s="336"/>
    </row>
    <row r="346" spans="1:19" s="43" customFormat="1" ht="41.25" customHeight="1" x14ac:dyDescent="0.2">
      <c r="A346"/>
      <c r="B346"/>
      <c r="C346" s="46"/>
      <c r="D346"/>
      <c r="E346"/>
      <c r="F346"/>
      <c r="G346" s="290"/>
      <c r="H346"/>
      <c r="I346" s="243"/>
      <c r="J346" s="243"/>
      <c r="K346" s="243"/>
      <c r="L346" s="243"/>
      <c r="M346" s="243"/>
      <c r="N346" s="293"/>
      <c r="O346" s="323"/>
      <c r="P346"/>
      <c r="Q346" s="46"/>
      <c r="R346" s="127"/>
      <c r="S346" s="336"/>
    </row>
    <row r="347" spans="1:19" s="272" customFormat="1" ht="15.75" customHeight="1" x14ac:dyDescent="0.2">
      <c r="A347"/>
      <c r="B347"/>
      <c r="C347" s="46"/>
      <c r="D347"/>
      <c r="E347"/>
      <c r="F347"/>
      <c r="G347" s="290"/>
      <c r="H347"/>
      <c r="I347" s="243"/>
      <c r="J347" s="243"/>
      <c r="K347" s="243"/>
      <c r="L347" s="243"/>
      <c r="M347" s="243"/>
      <c r="N347" s="293"/>
      <c r="O347" s="323"/>
      <c r="P347"/>
      <c r="Q347" s="46"/>
      <c r="R347" s="127"/>
      <c r="S347" s="336"/>
    </row>
    <row r="348" spans="1:19" s="43" customFormat="1" ht="32.25" customHeight="1" x14ac:dyDescent="0.2">
      <c r="A348"/>
      <c r="B348"/>
      <c r="C348" s="46"/>
      <c r="D348"/>
      <c r="E348"/>
      <c r="F348"/>
      <c r="G348" s="290"/>
      <c r="H348"/>
      <c r="I348" s="243"/>
      <c r="J348" s="243"/>
      <c r="K348" s="243"/>
      <c r="L348" s="243"/>
      <c r="M348" s="243"/>
      <c r="N348" s="293"/>
      <c r="O348" s="323"/>
      <c r="P348"/>
      <c r="Q348" s="46"/>
      <c r="R348" s="127"/>
      <c r="S348" s="336"/>
    </row>
    <row r="349" spans="1:19" s="43" customFormat="1" ht="15.75" customHeight="1" x14ac:dyDescent="0.2">
      <c r="A349"/>
      <c r="B349"/>
      <c r="C349" s="46"/>
      <c r="D349"/>
      <c r="E349"/>
      <c r="F349"/>
      <c r="G349" s="290"/>
      <c r="H349"/>
      <c r="I349" s="243"/>
      <c r="J349" s="243"/>
      <c r="K349" s="243"/>
      <c r="L349" s="243"/>
      <c r="M349" s="243"/>
      <c r="N349" s="293"/>
      <c r="O349" s="323"/>
      <c r="P349"/>
      <c r="Q349" s="46"/>
      <c r="R349" s="127"/>
      <c r="S349" s="336"/>
    </row>
    <row r="350" spans="1:19" s="43" customFormat="1" ht="26.25" customHeight="1" x14ac:dyDescent="0.2">
      <c r="A350"/>
      <c r="B350"/>
      <c r="C350" s="46"/>
      <c r="D350"/>
      <c r="E350"/>
      <c r="F350"/>
      <c r="G350" s="290"/>
      <c r="H350"/>
      <c r="I350" s="243"/>
      <c r="J350" s="243"/>
      <c r="K350" s="243"/>
      <c r="L350" s="243"/>
      <c r="M350" s="243"/>
      <c r="N350" s="293"/>
      <c r="O350" s="323"/>
      <c r="P350"/>
      <c r="Q350" s="46"/>
      <c r="R350" s="127"/>
      <c r="S350" s="336"/>
    </row>
    <row r="351" spans="1:19" s="43" customFormat="1" ht="36.75" customHeight="1" x14ac:dyDescent="0.2">
      <c r="A351"/>
      <c r="B351"/>
      <c r="C351" s="46"/>
      <c r="D351"/>
      <c r="E351"/>
      <c r="F351"/>
      <c r="G351" s="290"/>
      <c r="H351"/>
      <c r="I351" s="243"/>
      <c r="J351" s="243"/>
      <c r="K351" s="243"/>
      <c r="L351" s="243"/>
      <c r="M351" s="243"/>
      <c r="N351" s="293"/>
      <c r="O351" s="323"/>
      <c r="P351"/>
      <c r="Q351" s="46"/>
      <c r="R351" s="127"/>
      <c r="S351" s="336"/>
    </row>
    <row r="352" spans="1:19" s="43" customFormat="1" ht="15.75" customHeight="1" x14ac:dyDescent="0.2">
      <c r="A352"/>
      <c r="B352"/>
      <c r="C352" s="46"/>
      <c r="D352"/>
      <c r="E352"/>
      <c r="F352"/>
      <c r="G352" s="290"/>
      <c r="H352"/>
      <c r="I352" s="243"/>
      <c r="J352" s="243"/>
      <c r="K352" s="243"/>
      <c r="L352" s="243"/>
      <c r="M352" s="243"/>
      <c r="N352" s="293"/>
      <c r="O352" s="323"/>
      <c r="P352"/>
      <c r="Q352" s="46"/>
      <c r="R352" s="127"/>
      <c r="S352" s="336"/>
    </row>
    <row r="353" spans="1:19" s="43" customFormat="1" ht="15.75" customHeight="1" x14ac:dyDescent="0.2">
      <c r="A353"/>
      <c r="B353"/>
      <c r="C353" s="46"/>
      <c r="D353"/>
      <c r="E353"/>
      <c r="F353"/>
      <c r="G353" s="290"/>
      <c r="H353"/>
      <c r="I353" s="243"/>
      <c r="J353" s="243"/>
      <c r="K353" s="243"/>
      <c r="L353" s="243"/>
      <c r="M353" s="243"/>
      <c r="N353" s="293"/>
      <c r="O353" s="323"/>
      <c r="P353"/>
      <c r="Q353" s="46"/>
      <c r="R353" s="127"/>
      <c r="S353" s="336"/>
    </row>
    <row r="354" spans="1:19" s="43" customFormat="1" ht="15.75" customHeight="1" x14ac:dyDescent="0.2">
      <c r="A354"/>
      <c r="B354"/>
      <c r="C354" s="46"/>
      <c r="D354"/>
      <c r="E354"/>
      <c r="F354"/>
      <c r="G354" s="290"/>
      <c r="H354"/>
      <c r="I354" s="243"/>
      <c r="J354" s="243"/>
      <c r="K354" s="243"/>
      <c r="L354" s="243"/>
      <c r="M354" s="243"/>
      <c r="N354" s="293"/>
      <c r="O354" s="323"/>
      <c r="P354"/>
      <c r="Q354" s="46"/>
      <c r="R354" s="127"/>
      <c r="S354" s="336"/>
    </row>
    <row r="355" spans="1:19" s="43" customFormat="1" ht="26.25" customHeight="1" x14ac:dyDescent="0.2">
      <c r="A355"/>
      <c r="B355"/>
      <c r="C355" s="46"/>
      <c r="D355"/>
      <c r="E355"/>
      <c r="F355"/>
      <c r="G355" s="290"/>
      <c r="H355"/>
      <c r="I355" s="243"/>
      <c r="J355" s="243"/>
      <c r="K355" s="243"/>
      <c r="L355" s="243"/>
      <c r="M355" s="243"/>
      <c r="N355" s="293"/>
      <c r="O355" s="323"/>
      <c r="P355"/>
      <c r="Q355" s="46"/>
      <c r="R355" s="127"/>
      <c r="S355" s="336"/>
    </row>
    <row r="356" spans="1:19" s="43" customFormat="1" ht="15.75" customHeight="1" x14ac:dyDescent="0.2">
      <c r="A356"/>
      <c r="B356"/>
      <c r="C356" s="46"/>
      <c r="D356"/>
      <c r="E356"/>
      <c r="F356"/>
      <c r="G356" s="290"/>
      <c r="H356"/>
      <c r="I356" s="243"/>
      <c r="J356" s="243"/>
      <c r="K356" s="243"/>
      <c r="L356" s="243"/>
      <c r="M356" s="243"/>
      <c r="N356" s="293"/>
      <c r="O356" s="323"/>
      <c r="P356"/>
      <c r="Q356" s="46"/>
      <c r="R356" s="127"/>
      <c r="S356" s="336"/>
    </row>
    <row r="357" spans="1:19" s="43" customFormat="1" ht="15.75" customHeight="1" x14ac:dyDescent="0.2">
      <c r="A357"/>
      <c r="B357"/>
      <c r="C357" s="46"/>
      <c r="D357"/>
      <c r="E357"/>
      <c r="F357"/>
      <c r="G357" s="290"/>
      <c r="H357"/>
      <c r="I357" s="243"/>
      <c r="J357" s="243"/>
      <c r="K357" s="243"/>
      <c r="L357" s="243"/>
      <c r="M357" s="243"/>
      <c r="N357" s="293"/>
      <c r="O357" s="323"/>
      <c r="P357"/>
      <c r="Q357" s="46"/>
      <c r="R357" s="127"/>
      <c r="S357" s="336"/>
    </row>
    <row r="358" spans="1:19" s="43" customFormat="1" ht="29.25" customHeight="1" x14ac:dyDescent="0.2">
      <c r="A358"/>
      <c r="B358"/>
      <c r="C358" s="46"/>
      <c r="D358"/>
      <c r="E358"/>
      <c r="F358"/>
      <c r="G358" s="290"/>
      <c r="H358"/>
      <c r="I358" s="243"/>
      <c r="J358" s="243"/>
      <c r="K358" s="243"/>
      <c r="L358" s="243"/>
      <c r="M358" s="243"/>
      <c r="N358" s="293"/>
      <c r="O358" s="323"/>
      <c r="P358"/>
      <c r="Q358" s="46"/>
      <c r="R358" s="127"/>
      <c r="S358" s="336"/>
    </row>
    <row r="359" spans="1:19" s="43" customFormat="1" ht="31.5" customHeight="1" x14ac:dyDescent="0.2">
      <c r="A359"/>
      <c r="B359"/>
      <c r="C359" s="46"/>
      <c r="D359"/>
      <c r="E359"/>
      <c r="F359"/>
      <c r="G359" s="290"/>
      <c r="H359"/>
      <c r="I359" s="243"/>
      <c r="J359" s="243"/>
      <c r="K359" s="243"/>
      <c r="L359" s="243"/>
      <c r="M359" s="243"/>
      <c r="N359" s="293"/>
      <c r="O359" s="324"/>
      <c r="P359"/>
      <c r="Q359" s="46"/>
      <c r="R359" s="127"/>
      <c r="S359" s="336"/>
    </row>
    <row r="360" spans="1:19" s="43" customFormat="1" ht="27.75" customHeight="1" x14ac:dyDescent="0.2">
      <c r="A360"/>
      <c r="B360"/>
      <c r="C360" s="46"/>
      <c r="D360"/>
      <c r="E360"/>
      <c r="F360"/>
      <c r="G360" s="290"/>
      <c r="H360"/>
      <c r="I360" s="243"/>
      <c r="J360" s="243"/>
      <c r="K360" s="243"/>
      <c r="L360" s="243"/>
      <c r="M360" s="243"/>
      <c r="N360" s="293"/>
      <c r="O360" s="324"/>
      <c r="P360"/>
      <c r="Q360" s="46"/>
      <c r="R360" s="127"/>
      <c r="S360" s="336"/>
    </row>
    <row r="361" spans="1:19" s="43" customFormat="1" ht="15.75" customHeight="1" x14ac:dyDescent="0.2">
      <c r="A361"/>
      <c r="B361"/>
      <c r="C361" s="46"/>
      <c r="D361"/>
      <c r="E361"/>
      <c r="F361"/>
      <c r="G361" s="290"/>
      <c r="H361"/>
      <c r="I361" s="243"/>
      <c r="J361" s="243"/>
      <c r="K361" s="243"/>
      <c r="L361" s="243"/>
      <c r="M361" s="243"/>
      <c r="N361" s="293"/>
      <c r="O361" s="324"/>
      <c r="P361"/>
      <c r="Q361" s="46"/>
      <c r="R361" s="127"/>
      <c r="S361" s="336"/>
    </row>
    <row r="362" spans="1:19" s="43" customFormat="1" ht="15.75" customHeight="1" x14ac:dyDescent="0.2">
      <c r="A362"/>
      <c r="B362"/>
      <c r="C362" s="46"/>
      <c r="D362"/>
      <c r="E362"/>
      <c r="F362"/>
      <c r="G362" s="290"/>
      <c r="H362"/>
      <c r="I362" s="243"/>
      <c r="J362" s="243"/>
      <c r="K362" s="243"/>
      <c r="L362" s="243"/>
      <c r="M362" s="243"/>
      <c r="N362" s="293"/>
      <c r="O362" s="324"/>
      <c r="P362"/>
      <c r="Q362" s="46"/>
      <c r="R362" s="127"/>
      <c r="S362" s="336"/>
    </row>
    <row r="363" spans="1:19" s="43" customFormat="1" ht="15.75" customHeight="1" x14ac:dyDescent="0.2">
      <c r="A363"/>
      <c r="B363"/>
      <c r="C363" s="46"/>
      <c r="D363"/>
      <c r="E363"/>
      <c r="F363"/>
      <c r="G363" s="290"/>
      <c r="H363"/>
      <c r="I363" s="243"/>
      <c r="J363" s="243"/>
      <c r="K363" s="243"/>
      <c r="L363" s="243"/>
      <c r="M363" s="243"/>
      <c r="N363" s="293"/>
      <c r="O363" s="324"/>
      <c r="P363"/>
      <c r="Q363" s="46"/>
      <c r="R363" s="127"/>
      <c r="S363" s="336"/>
    </row>
    <row r="364" spans="1:19" s="43" customFormat="1" ht="15.75" customHeight="1" x14ac:dyDescent="0.2">
      <c r="A364"/>
      <c r="B364"/>
      <c r="C364" s="46"/>
      <c r="D364"/>
      <c r="E364"/>
      <c r="F364"/>
      <c r="G364" s="290"/>
      <c r="H364"/>
      <c r="I364" s="243"/>
      <c r="J364" s="243"/>
      <c r="K364" s="243"/>
      <c r="L364" s="243"/>
      <c r="M364" s="243"/>
      <c r="N364" s="293"/>
      <c r="O364" s="324"/>
      <c r="P364"/>
      <c r="Q364" s="46"/>
      <c r="R364" s="127"/>
      <c r="S364" s="336"/>
    </row>
    <row r="365" spans="1:19" s="43" customFormat="1" ht="15.75" customHeight="1" x14ac:dyDescent="0.2">
      <c r="A365"/>
      <c r="B365"/>
      <c r="C365" s="46"/>
      <c r="D365"/>
      <c r="E365"/>
      <c r="F365"/>
      <c r="G365" s="290"/>
      <c r="H365"/>
      <c r="I365" s="243"/>
      <c r="J365" s="243"/>
      <c r="K365" s="243"/>
      <c r="L365" s="243"/>
      <c r="M365" s="243"/>
      <c r="N365" s="293"/>
      <c r="O365" s="324"/>
      <c r="P365"/>
      <c r="Q365" s="46"/>
      <c r="R365" s="127"/>
      <c r="S365" s="336"/>
    </row>
    <row r="366" spans="1:19" s="43" customFormat="1" ht="15.75" customHeight="1" x14ac:dyDescent="0.2">
      <c r="A366"/>
      <c r="B366"/>
      <c r="C366" s="46"/>
      <c r="D366"/>
      <c r="E366"/>
      <c r="F366"/>
      <c r="G366" s="290"/>
      <c r="H366"/>
      <c r="I366" s="243"/>
      <c r="J366" s="243"/>
      <c r="K366" s="243"/>
      <c r="L366" s="243"/>
      <c r="M366" s="243"/>
      <c r="N366" s="293"/>
      <c r="O366" s="324"/>
      <c r="P366"/>
      <c r="Q366" s="46"/>
      <c r="R366" s="127"/>
      <c r="S366" s="336"/>
    </row>
    <row r="367" spans="1:19" ht="27.75" customHeight="1" x14ac:dyDescent="0.2"/>
    <row r="368" spans="1:19" ht="15.75" customHeight="1" x14ac:dyDescent="0.2"/>
    <row r="369" spans="1:19" s="43" customFormat="1" ht="15.75" customHeight="1" x14ac:dyDescent="0.2">
      <c r="A369"/>
      <c r="B369"/>
      <c r="C369" s="46"/>
      <c r="D369"/>
      <c r="E369"/>
      <c r="F369"/>
      <c r="G369" s="290"/>
      <c r="H369"/>
      <c r="I369" s="243"/>
      <c r="J369" s="243"/>
      <c r="K369" s="243"/>
      <c r="L369" s="243"/>
      <c r="M369" s="243"/>
      <c r="N369" s="293"/>
      <c r="O369" s="324"/>
      <c r="P369"/>
      <c r="Q369" s="46"/>
      <c r="R369" s="127"/>
      <c r="S369" s="336"/>
    </row>
    <row r="370" spans="1:19" ht="15.75" customHeight="1" x14ac:dyDescent="0.2"/>
    <row r="371" spans="1:19" s="43" customFormat="1" ht="15.75" customHeight="1" x14ac:dyDescent="0.2">
      <c r="A371"/>
      <c r="B371"/>
      <c r="C371" s="46"/>
      <c r="D371"/>
      <c r="E371"/>
      <c r="F371"/>
      <c r="G371" s="290"/>
      <c r="H371"/>
      <c r="I371" s="243"/>
      <c r="J371" s="243"/>
      <c r="K371" s="243"/>
      <c r="L371" s="243"/>
      <c r="M371" s="243"/>
      <c r="N371" s="293"/>
      <c r="O371" s="324"/>
      <c r="P371"/>
      <c r="Q371" s="46"/>
      <c r="R371" s="127"/>
      <c r="S371" s="336"/>
    </row>
    <row r="372" spans="1:19" s="43" customFormat="1" ht="15.75" customHeight="1" x14ac:dyDescent="0.2">
      <c r="A372"/>
      <c r="B372"/>
      <c r="C372" s="46"/>
      <c r="D372"/>
      <c r="E372"/>
      <c r="F372"/>
      <c r="G372" s="290"/>
      <c r="H372"/>
      <c r="I372" s="243"/>
      <c r="J372" s="243"/>
      <c r="K372" s="243"/>
      <c r="L372" s="243"/>
      <c r="M372" s="243"/>
      <c r="N372" s="293"/>
      <c r="O372" s="324"/>
      <c r="P372"/>
      <c r="Q372" s="46"/>
      <c r="R372" s="127"/>
      <c r="S372" s="336"/>
    </row>
    <row r="373" spans="1:19" s="43" customFormat="1" ht="15.75" customHeight="1" x14ac:dyDescent="0.2">
      <c r="A373"/>
      <c r="B373"/>
      <c r="C373" s="46"/>
      <c r="D373"/>
      <c r="E373"/>
      <c r="F373"/>
      <c r="G373" s="290"/>
      <c r="H373"/>
      <c r="I373" s="243"/>
      <c r="J373" s="243"/>
      <c r="K373" s="243"/>
      <c r="L373" s="243"/>
      <c r="M373" s="243"/>
      <c r="N373" s="293"/>
      <c r="O373" s="324"/>
      <c r="P373"/>
      <c r="Q373" s="46"/>
      <c r="R373" s="127"/>
      <c r="S373" s="336"/>
    </row>
    <row r="374" spans="1:19" ht="29.25" customHeight="1" x14ac:dyDescent="0.2"/>
    <row r="375" spans="1:19" ht="15.75" customHeight="1" x14ac:dyDescent="0.2"/>
    <row r="376" spans="1:19" ht="15.75" customHeight="1" x14ac:dyDescent="0.2"/>
    <row r="377" spans="1:19" ht="15.75" customHeight="1" x14ac:dyDescent="0.2"/>
    <row r="378" spans="1:19" ht="15.75" customHeight="1" x14ac:dyDescent="0.2"/>
    <row r="379" spans="1:19" ht="22.5" customHeight="1" x14ac:dyDescent="0.2"/>
    <row r="380" spans="1:19" ht="15.75" customHeight="1" x14ac:dyDescent="0.2"/>
    <row r="381" spans="1:19" ht="15.75" customHeight="1" x14ac:dyDescent="0.2"/>
    <row r="382" spans="1:19" ht="15.75" customHeight="1" x14ac:dyDescent="0.2"/>
    <row r="383" spans="1:19" ht="15.75" customHeight="1" x14ac:dyDescent="0.2"/>
    <row r="384" spans="1:19" ht="15.75" customHeight="1" x14ac:dyDescent="0.2"/>
    <row r="385" spans="1:19" s="43" customFormat="1" ht="15.75" customHeight="1" x14ac:dyDescent="0.2">
      <c r="A385"/>
      <c r="B385"/>
      <c r="C385" s="46"/>
      <c r="D385"/>
      <c r="E385"/>
      <c r="F385"/>
      <c r="G385" s="290"/>
      <c r="H385"/>
      <c r="I385" s="243"/>
      <c r="J385" s="243"/>
      <c r="K385" s="243"/>
      <c r="L385" s="243"/>
      <c r="M385" s="243"/>
      <c r="N385" s="293"/>
      <c r="O385" s="324"/>
      <c r="P385"/>
      <c r="Q385" s="46"/>
      <c r="R385" s="127"/>
      <c r="S385" s="336"/>
    </row>
    <row r="386" spans="1:19" ht="25.5" customHeight="1" x14ac:dyDescent="0.2"/>
    <row r="387" spans="1:19" ht="15.75" customHeight="1" x14ac:dyDescent="0.2"/>
    <row r="388" spans="1:19" ht="15.75" customHeight="1" x14ac:dyDescent="0.2"/>
    <row r="389" spans="1:19" ht="15.75" customHeight="1" x14ac:dyDescent="0.2"/>
    <row r="390" spans="1:19" ht="15.75" customHeight="1" x14ac:dyDescent="0.2"/>
    <row r="391" spans="1:19" s="287" customFormat="1" ht="15.75" customHeight="1" x14ac:dyDescent="0.2">
      <c r="A391"/>
      <c r="B391"/>
      <c r="C391" s="46"/>
      <c r="D391"/>
      <c r="E391"/>
      <c r="F391"/>
      <c r="G391" s="290"/>
      <c r="H391"/>
      <c r="I391" s="243"/>
      <c r="J391" s="243"/>
      <c r="K391" s="243"/>
      <c r="L391" s="243"/>
      <c r="M391" s="243"/>
      <c r="N391" s="293"/>
      <c r="O391" s="324"/>
      <c r="P391"/>
      <c r="Q391" s="46"/>
      <c r="R391" s="127"/>
      <c r="S391" s="337"/>
    </row>
    <row r="392" spans="1:19" ht="15.75" customHeight="1" x14ac:dyDescent="0.2"/>
    <row r="393" spans="1:19" ht="15.75" customHeight="1" x14ac:dyDescent="0.2"/>
    <row r="394" spans="1:19" ht="24" customHeight="1" x14ac:dyDescent="0.2"/>
    <row r="395" spans="1:19" ht="15.75" customHeight="1" x14ac:dyDescent="0.2"/>
    <row r="396" spans="1:19" ht="15.75" customHeight="1" x14ac:dyDescent="0.2"/>
    <row r="397" spans="1:19" ht="15.75" customHeight="1" x14ac:dyDescent="0.2"/>
    <row r="398" spans="1:19" ht="15.75" customHeight="1" x14ac:dyDescent="0.2"/>
    <row r="399" spans="1:19" ht="15.75" customHeight="1" x14ac:dyDescent="0.2"/>
    <row r="400" spans="1:19" ht="15.75" customHeight="1" x14ac:dyDescent="0.2"/>
    <row r="401" ht="22.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</sheetData>
  <autoFilter ref="A1:R185" xr:uid="{00000000-0001-0000-0200-000000000000}"/>
  <mergeCells count="1">
    <mergeCell ref="U180:U181"/>
  </mergeCells>
  <phoneticPr fontId="22" type="noConversion"/>
  <pageMargins left="0.7" right="0.7" top="0.75" bottom="0.75" header="0" footer="0"/>
  <pageSetup paperSize="9" scale="67" fitToHeight="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Q631"/>
  <sheetViews>
    <sheetView zoomScaleNormal="100" workbookViewId="0">
      <pane ySplit="1" topLeftCell="A20" activePane="bottomLeft" state="frozen"/>
      <selection pane="bottomLeft" activeCell="L30" sqref="L30"/>
    </sheetView>
  </sheetViews>
  <sheetFormatPr baseColWidth="10" defaultColWidth="12.625" defaultRowHeight="15" customHeight="1" x14ac:dyDescent="0.25"/>
  <cols>
    <col min="1" max="1" width="11.5" customWidth="1"/>
    <col min="2" max="2" width="10.125" style="45" customWidth="1"/>
    <col min="3" max="3" width="30.375" style="45" hidden="1" customWidth="1"/>
    <col min="4" max="4" width="10" style="46" hidden="1" customWidth="1"/>
    <col min="5" max="5" width="15.5" style="46" hidden="1" customWidth="1"/>
    <col min="6" max="6" width="10.25" style="45" hidden="1" customWidth="1"/>
    <col min="7" max="7" width="23.625" style="46" hidden="1" customWidth="1"/>
    <col min="8" max="8" width="11.5" hidden="1" customWidth="1"/>
    <col min="9" max="9" width="27.25" hidden="1" customWidth="1"/>
    <col min="10" max="10" width="10.25" hidden="1" customWidth="1"/>
    <col min="11" max="11" width="14.375" customWidth="1"/>
    <col min="12" max="12" width="10.25" style="324" customWidth="1"/>
    <col min="13" max="13" width="10.875" style="46" hidden="1" customWidth="1"/>
    <col min="14" max="14" width="11.375" style="264" hidden="1" customWidth="1"/>
    <col min="15" max="15" width="20.75" style="45" customWidth="1"/>
    <col min="16" max="16" width="14.5" customWidth="1"/>
  </cols>
  <sheetData>
    <row r="1" spans="1:17" ht="45" x14ac:dyDescent="0.2">
      <c r="A1" s="44" t="s">
        <v>668</v>
      </c>
      <c r="B1" s="44" t="s">
        <v>370</v>
      </c>
      <c r="C1" s="44" t="s">
        <v>1737</v>
      </c>
      <c r="D1" s="44" t="s">
        <v>17</v>
      </c>
      <c r="E1" s="44" t="s">
        <v>1368</v>
      </c>
      <c r="F1" s="44" t="s">
        <v>371</v>
      </c>
      <c r="G1" s="44" t="s">
        <v>381</v>
      </c>
      <c r="H1" s="44" t="s">
        <v>18</v>
      </c>
      <c r="I1" s="44">
        <v>2026</v>
      </c>
      <c r="J1" s="44" t="s">
        <v>372</v>
      </c>
      <c r="K1" s="44" t="s">
        <v>382</v>
      </c>
      <c r="L1" s="325" t="s">
        <v>373</v>
      </c>
      <c r="M1" s="44" t="s">
        <v>1519</v>
      </c>
      <c r="N1" s="250" t="s">
        <v>1520</v>
      </c>
      <c r="O1" s="44" t="s">
        <v>374</v>
      </c>
      <c r="P1" s="44" t="s">
        <v>375</v>
      </c>
      <c r="Q1" s="153"/>
    </row>
    <row r="2" spans="1:17" s="43" customFormat="1" x14ac:dyDescent="0.25">
      <c r="A2" s="82"/>
      <c r="B2" s="81" t="s">
        <v>412</v>
      </c>
      <c r="C2" s="81"/>
      <c r="D2" s="82" t="s">
        <v>25</v>
      </c>
      <c r="E2" s="82"/>
      <c r="F2" s="83">
        <v>46024</v>
      </c>
      <c r="G2" s="82"/>
      <c r="H2" s="82"/>
      <c r="I2" s="82"/>
      <c r="J2" s="81" t="s">
        <v>404</v>
      </c>
      <c r="K2" s="182">
        <v>300</v>
      </c>
      <c r="L2" s="327">
        <v>291.5</v>
      </c>
      <c r="M2" s="87"/>
      <c r="N2" s="252"/>
      <c r="O2" s="81" t="s">
        <v>417</v>
      </c>
      <c r="P2" s="82"/>
    </row>
    <row r="3" spans="1:17" s="43" customFormat="1" x14ac:dyDescent="0.25">
      <c r="A3" s="82"/>
      <c r="B3" s="81" t="s">
        <v>424</v>
      </c>
      <c r="C3" s="81"/>
      <c r="D3" s="82" t="s">
        <v>25</v>
      </c>
      <c r="E3" s="82"/>
      <c r="F3" s="83">
        <v>46029</v>
      </c>
      <c r="G3" s="82"/>
      <c r="H3" s="82"/>
      <c r="I3" s="82"/>
      <c r="J3" s="82" t="s">
        <v>404</v>
      </c>
      <c r="K3" s="86">
        <v>300</v>
      </c>
      <c r="L3" s="327">
        <v>292.5</v>
      </c>
      <c r="M3" s="87"/>
      <c r="N3" s="252"/>
      <c r="O3" s="81" t="s">
        <v>520</v>
      </c>
      <c r="P3" s="101">
        <v>46031</v>
      </c>
    </row>
    <row r="4" spans="1:17" x14ac:dyDescent="0.25">
      <c r="A4" s="82"/>
      <c r="B4" s="81" t="s">
        <v>427</v>
      </c>
      <c r="C4" s="81"/>
      <c r="D4" s="82" t="s">
        <v>25</v>
      </c>
      <c r="E4" s="82"/>
      <c r="F4" s="83">
        <v>46035</v>
      </c>
      <c r="G4" s="82"/>
      <c r="H4" s="82"/>
      <c r="I4" s="82"/>
      <c r="J4" s="82" t="s">
        <v>404</v>
      </c>
      <c r="K4" s="86">
        <v>300</v>
      </c>
      <c r="L4" s="327">
        <v>300</v>
      </c>
      <c r="M4" s="87"/>
      <c r="N4" s="252"/>
      <c r="O4" s="81" t="s">
        <v>417</v>
      </c>
      <c r="P4" s="194">
        <v>46038</v>
      </c>
    </row>
    <row r="5" spans="1:17" x14ac:dyDescent="0.25">
      <c r="A5" s="82"/>
      <c r="B5" s="81" t="s">
        <v>450</v>
      </c>
      <c r="C5" s="81"/>
      <c r="D5" s="82" t="s">
        <v>25</v>
      </c>
      <c r="E5" s="82"/>
      <c r="F5" s="83">
        <v>46045</v>
      </c>
      <c r="G5" s="82"/>
      <c r="H5" s="82"/>
      <c r="I5" s="82"/>
      <c r="J5" s="84" t="s">
        <v>404</v>
      </c>
      <c r="K5" s="86">
        <v>300</v>
      </c>
      <c r="L5" s="327">
        <v>300.5</v>
      </c>
      <c r="M5" s="87"/>
      <c r="N5" s="252"/>
      <c r="O5" s="81" t="s">
        <v>417</v>
      </c>
      <c r="P5" s="101">
        <v>46048</v>
      </c>
    </row>
    <row r="6" spans="1:17" x14ac:dyDescent="0.25">
      <c r="A6" s="82"/>
      <c r="B6" s="81" t="s">
        <v>451</v>
      </c>
      <c r="C6" s="81"/>
      <c r="D6" s="82" t="s">
        <v>25</v>
      </c>
      <c r="E6" s="82"/>
      <c r="F6" s="83">
        <v>46052</v>
      </c>
      <c r="G6" s="82"/>
      <c r="H6" s="82"/>
      <c r="I6" s="82"/>
      <c r="J6" s="84" t="s">
        <v>404</v>
      </c>
      <c r="K6" s="86">
        <v>300</v>
      </c>
      <c r="L6" s="327">
        <v>300.3</v>
      </c>
      <c r="M6" s="87"/>
      <c r="N6" s="252"/>
      <c r="O6" s="81" t="s">
        <v>417</v>
      </c>
      <c r="P6" s="101">
        <v>46048</v>
      </c>
    </row>
    <row r="7" spans="1:17" x14ac:dyDescent="0.25">
      <c r="A7" s="82"/>
      <c r="B7" s="81" t="s">
        <v>473</v>
      </c>
      <c r="C7" s="81"/>
      <c r="D7" s="82" t="s">
        <v>29</v>
      </c>
      <c r="E7" s="82"/>
      <c r="F7" s="83">
        <v>46057</v>
      </c>
      <c r="G7" s="82"/>
      <c r="H7" s="82"/>
      <c r="I7" s="82"/>
      <c r="J7" s="84" t="s">
        <v>404</v>
      </c>
      <c r="K7" s="86">
        <v>300</v>
      </c>
      <c r="L7" s="327">
        <v>298.3</v>
      </c>
      <c r="M7" s="306"/>
      <c r="N7" s="307"/>
      <c r="O7" s="81" t="s">
        <v>417</v>
      </c>
      <c r="P7" s="101">
        <v>46059</v>
      </c>
    </row>
    <row r="8" spans="1:17" x14ac:dyDescent="0.25">
      <c r="A8" s="82"/>
      <c r="B8" s="81" t="s">
        <v>477</v>
      </c>
      <c r="C8" s="81"/>
      <c r="D8" s="82" t="s">
        <v>29</v>
      </c>
      <c r="E8" s="82"/>
      <c r="F8" s="83">
        <v>46062</v>
      </c>
      <c r="G8" s="82"/>
      <c r="H8" s="82"/>
      <c r="I8" s="82"/>
      <c r="J8" s="84" t="s">
        <v>404</v>
      </c>
      <c r="K8" s="86">
        <v>300</v>
      </c>
      <c r="L8" s="327">
        <v>300</v>
      </c>
      <c r="M8" s="306"/>
      <c r="N8" s="307"/>
      <c r="O8" s="81" t="s">
        <v>417</v>
      </c>
      <c r="P8" s="101">
        <v>46064</v>
      </c>
    </row>
    <row r="9" spans="1:17" x14ac:dyDescent="0.25">
      <c r="A9" s="82"/>
      <c r="B9" s="81" t="s">
        <v>479</v>
      </c>
      <c r="C9" s="81"/>
      <c r="D9" s="82" t="s">
        <v>29</v>
      </c>
      <c r="E9" s="82"/>
      <c r="F9" s="83">
        <v>46064</v>
      </c>
      <c r="G9" s="82"/>
      <c r="H9" s="82"/>
      <c r="I9" s="82"/>
      <c r="J9" s="84" t="s">
        <v>404</v>
      </c>
      <c r="K9" s="86">
        <v>300</v>
      </c>
      <c r="L9" s="327">
        <v>300</v>
      </c>
      <c r="M9" s="306"/>
      <c r="N9" s="307"/>
      <c r="O9" s="81" t="s">
        <v>417</v>
      </c>
      <c r="P9" s="101">
        <v>46066</v>
      </c>
    </row>
    <row r="10" spans="1:17" x14ac:dyDescent="0.25">
      <c r="A10" s="82"/>
      <c r="B10" s="81" t="s">
        <v>509</v>
      </c>
      <c r="C10" s="81"/>
      <c r="D10" s="82"/>
      <c r="E10" s="82"/>
      <c r="F10" s="81"/>
      <c r="G10" s="82"/>
      <c r="H10" s="82"/>
      <c r="I10" s="82"/>
      <c r="J10" s="84"/>
      <c r="K10" s="86">
        <v>300</v>
      </c>
      <c r="L10" s="327">
        <v>296.7</v>
      </c>
      <c r="M10" s="87"/>
      <c r="N10" s="252"/>
      <c r="O10" s="81" t="s">
        <v>417</v>
      </c>
      <c r="P10" s="194">
        <v>46072</v>
      </c>
    </row>
    <row r="11" spans="1:17" x14ac:dyDescent="0.25">
      <c r="A11" s="82"/>
      <c r="B11" s="81" t="s">
        <v>524</v>
      </c>
      <c r="C11" s="81"/>
      <c r="D11" s="82"/>
      <c r="E11" s="82"/>
      <c r="F11" s="81"/>
      <c r="G11" s="82"/>
      <c r="H11" s="82"/>
      <c r="I11" s="82"/>
      <c r="J11" s="84"/>
      <c r="K11" s="86">
        <v>300</v>
      </c>
      <c r="L11" s="327">
        <v>302.3</v>
      </c>
      <c r="M11" s="87"/>
      <c r="N11" s="252"/>
      <c r="O11" s="81" t="s">
        <v>417</v>
      </c>
      <c r="P11" s="194">
        <v>46073</v>
      </c>
    </row>
    <row r="12" spans="1:17" x14ac:dyDescent="0.25">
      <c r="A12" s="82"/>
      <c r="B12" s="81" t="s">
        <v>530</v>
      </c>
      <c r="C12" s="81"/>
      <c r="D12" s="82"/>
      <c r="E12" s="82"/>
      <c r="F12" s="81"/>
      <c r="G12" s="82"/>
      <c r="H12" s="82"/>
      <c r="I12" s="82"/>
      <c r="J12" s="84"/>
      <c r="K12" s="86">
        <v>300</v>
      </c>
      <c r="L12" s="327">
        <v>303.2</v>
      </c>
      <c r="M12" s="87"/>
      <c r="N12" s="252"/>
      <c r="O12" s="81" t="s">
        <v>417</v>
      </c>
      <c r="P12" s="194">
        <v>46077</v>
      </c>
    </row>
    <row r="13" spans="1:17" ht="18" customHeight="1" x14ac:dyDescent="0.25">
      <c r="A13" s="82"/>
      <c r="B13" s="81" t="s">
        <v>533</v>
      </c>
      <c r="C13" s="81"/>
      <c r="D13" s="82"/>
      <c r="E13" s="82"/>
      <c r="F13" s="81"/>
      <c r="G13" s="82"/>
      <c r="H13" s="82"/>
      <c r="I13" s="82"/>
      <c r="J13" s="84"/>
      <c r="K13" s="86">
        <v>300</v>
      </c>
      <c r="L13" s="327">
        <v>299.60000000000002</v>
      </c>
      <c r="M13" s="87"/>
      <c r="N13" s="252"/>
      <c r="O13" s="81" t="s">
        <v>417</v>
      </c>
      <c r="P13" s="194">
        <v>46078</v>
      </c>
    </row>
    <row r="14" spans="1:17" x14ac:dyDescent="0.25">
      <c r="A14" s="82"/>
      <c r="B14" s="81" t="s">
        <v>539</v>
      </c>
      <c r="C14" s="81"/>
      <c r="D14" s="82"/>
      <c r="E14" s="82"/>
      <c r="F14" s="81"/>
      <c r="G14" s="82"/>
      <c r="H14" s="82"/>
      <c r="I14" s="82"/>
      <c r="J14" s="84"/>
      <c r="K14" s="86">
        <v>300</v>
      </c>
      <c r="L14" s="327">
        <v>293.5</v>
      </c>
      <c r="M14" s="87"/>
      <c r="N14" s="252"/>
      <c r="O14" s="81" t="s">
        <v>417</v>
      </c>
      <c r="P14" s="194">
        <v>46083</v>
      </c>
    </row>
    <row r="15" spans="1:17" x14ac:dyDescent="0.25">
      <c r="A15" s="82"/>
      <c r="B15" s="81" t="s">
        <v>540</v>
      </c>
      <c r="C15" s="81"/>
      <c r="D15" s="82"/>
      <c r="E15" s="82"/>
      <c r="F15" s="81"/>
      <c r="G15" s="82"/>
      <c r="H15" s="82"/>
      <c r="I15" s="82"/>
      <c r="J15" s="84"/>
      <c r="K15" s="86">
        <v>300</v>
      </c>
      <c r="L15" s="327">
        <v>288.5</v>
      </c>
      <c r="M15" s="87"/>
      <c r="N15" s="252"/>
      <c r="O15" s="81" t="s">
        <v>520</v>
      </c>
      <c r="P15" s="194">
        <v>46092</v>
      </c>
    </row>
    <row r="16" spans="1:17" x14ac:dyDescent="0.25">
      <c r="A16" s="82"/>
      <c r="B16" s="81" t="s">
        <v>541</v>
      </c>
      <c r="C16" s="81"/>
      <c r="D16" s="82"/>
      <c r="E16" s="82"/>
      <c r="F16" s="81"/>
      <c r="G16" s="82"/>
      <c r="H16" s="82"/>
      <c r="I16" s="82"/>
      <c r="J16" s="84"/>
      <c r="K16" s="86">
        <v>300</v>
      </c>
      <c r="L16" s="327">
        <v>300</v>
      </c>
      <c r="M16" s="87"/>
      <c r="N16" s="252"/>
      <c r="O16" s="81" t="s">
        <v>520</v>
      </c>
      <c r="P16" s="194">
        <v>46097</v>
      </c>
    </row>
    <row r="17" spans="1:17" x14ac:dyDescent="0.25">
      <c r="A17" s="82"/>
      <c r="B17" s="81" t="s">
        <v>578</v>
      </c>
      <c r="C17" s="81"/>
      <c r="D17" s="82"/>
      <c r="E17" s="82"/>
      <c r="F17" s="81"/>
      <c r="G17" s="82"/>
      <c r="H17" s="82"/>
      <c r="I17" s="82"/>
      <c r="J17" s="84"/>
      <c r="K17" s="86">
        <v>300</v>
      </c>
      <c r="L17" s="327">
        <v>285.2</v>
      </c>
      <c r="M17" s="87"/>
      <c r="N17" s="252"/>
      <c r="O17" s="81" t="s">
        <v>417</v>
      </c>
      <c r="P17" s="194">
        <v>46104</v>
      </c>
    </row>
    <row r="18" spans="1:17" x14ac:dyDescent="0.25">
      <c r="A18" s="82"/>
      <c r="B18" s="81" t="s">
        <v>582</v>
      </c>
      <c r="C18" s="81"/>
      <c r="D18" s="82"/>
      <c r="E18" s="82"/>
      <c r="F18" s="81"/>
      <c r="G18" s="82"/>
      <c r="H18" s="82"/>
      <c r="I18" s="82"/>
      <c r="J18" s="84"/>
      <c r="K18" s="86">
        <v>300</v>
      </c>
      <c r="L18" s="327">
        <v>292</v>
      </c>
      <c r="M18" s="87"/>
      <c r="N18" s="252"/>
      <c r="O18" s="81" t="s">
        <v>417</v>
      </c>
      <c r="P18" s="194">
        <v>46118</v>
      </c>
    </row>
    <row r="19" spans="1:17" x14ac:dyDescent="0.25">
      <c r="A19" s="82"/>
      <c r="B19" s="81" t="s">
        <v>626</v>
      </c>
      <c r="C19" s="81"/>
      <c r="D19" s="82"/>
      <c r="E19" s="82"/>
      <c r="F19" s="81"/>
      <c r="G19" s="82"/>
      <c r="H19" s="82"/>
      <c r="I19" s="82"/>
      <c r="J19" s="84"/>
      <c r="K19" s="86">
        <v>300</v>
      </c>
      <c r="L19" s="327">
        <v>286.3</v>
      </c>
      <c r="M19" s="87"/>
      <c r="N19" s="252"/>
      <c r="O19" s="81" t="s">
        <v>417</v>
      </c>
      <c r="P19" s="101">
        <v>46122</v>
      </c>
    </row>
    <row r="20" spans="1:17" x14ac:dyDescent="0.25">
      <c r="A20" s="82"/>
      <c r="B20" s="81" t="s">
        <v>627</v>
      </c>
      <c r="C20" s="81"/>
      <c r="D20" s="82"/>
      <c r="E20" s="82"/>
      <c r="F20" s="81"/>
      <c r="G20" s="82"/>
      <c r="H20" s="82"/>
      <c r="I20" s="82"/>
      <c r="J20" s="84"/>
      <c r="K20" s="86">
        <v>300</v>
      </c>
      <c r="L20" s="327">
        <v>292</v>
      </c>
      <c r="M20" s="87"/>
      <c r="N20" s="252"/>
      <c r="O20" s="81" t="s">
        <v>417</v>
      </c>
      <c r="P20" s="194">
        <v>46135</v>
      </c>
    </row>
    <row r="21" spans="1:17" x14ac:dyDescent="0.25">
      <c r="A21" s="82"/>
      <c r="B21" s="81" t="s">
        <v>628</v>
      </c>
      <c r="C21" s="81"/>
      <c r="D21" s="82"/>
      <c r="E21" s="82"/>
      <c r="F21" s="81"/>
      <c r="G21" s="82"/>
      <c r="H21" s="82"/>
      <c r="I21" s="82"/>
      <c r="J21" s="84"/>
      <c r="K21" s="86">
        <v>300</v>
      </c>
      <c r="L21" s="327">
        <v>294</v>
      </c>
      <c r="M21" s="87"/>
      <c r="N21" s="252"/>
      <c r="O21" s="81" t="s">
        <v>417</v>
      </c>
      <c r="P21" s="194">
        <v>46153</v>
      </c>
    </row>
    <row r="22" spans="1:17" x14ac:dyDescent="0.25">
      <c r="A22" s="82"/>
      <c r="B22" s="81" t="s">
        <v>629</v>
      </c>
      <c r="C22" s="81"/>
      <c r="D22" s="82"/>
      <c r="E22" s="82"/>
      <c r="F22" s="81"/>
      <c r="G22" s="82"/>
      <c r="H22" s="82"/>
      <c r="I22" s="82"/>
      <c r="J22" s="84"/>
      <c r="K22" s="86">
        <v>300</v>
      </c>
      <c r="L22" s="327">
        <v>301</v>
      </c>
      <c r="M22" s="87"/>
      <c r="N22" s="252"/>
      <c r="O22" s="81" t="s">
        <v>417</v>
      </c>
      <c r="P22" s="194">
        <v>46162</v>
      </c>
    </row>
    <row r="23" spans="1:17" x14ac:dyDescent="0.25">
      <c r="A23" s="82"/>
      <c r="B23" s="81" t="s">
        <v>630</v>
      </c>
      <c r="C23" s="81"/>
      <c r="D23" s="82"/>
      <c r="E23" s="82"/>
      <c r="F23" s="81"/>
      <c r="G23" s="82"/>
      <c r="H23" s="82"/>
      <c r="I23" s="82"/>
      <c r="J23" s="84"/>
      <c r="K23" s="86">
        <v>300</v>
      </c>
      <c r="L23" s="327">
        <v>295.2</v>
      </c>
      <c r="M23" s="87"/>
      <c r="N23" s="252"/>
      <c r="O23" s="81" t="s">
        <v>417</v>
      </c>
      <c r="P23" s="194">
        <v>46177</v>
      </c>
    </row>
    <row r="24" spans="1:17" ht="15.75" customHeight="1" x14ac:dyDescent="0.25">
      <c r="A24" s="82"/>
      <c r="B24" s="81" t="s">
        <v>655</v>
      </c>
      <c r="C24" s="81"/>
      <c r="D24" s="82"/>
      <c r="E24" s="82"/>
      <c r="F24" s="81"/>
      <c r="G24" s="82"/>
      <c r="H24" s="82"/>
      <c r="I24" s="82"/>
      <c r="J24" s="84"/>
      <c r="K24" s="86">
        <v>300</v>
      </c>
      <c r="L24" s="327">
        <v>296.89999999999998</v>
      </c>
      <c r="M24" s="87"/>
      <c r="N24" s="252"/>
      <c r="O24" s="81" t="s">
        <v>417</v>
      </c>
      <c r="P24" s="194">
        <v>46184</v>
      </c>
      <c r="Q24" s="154"/>
    </row>
    <row r="25" spans="1:17" ht="18" customHeight="1" x14ac:dyDescent="0.25">
      <c r="A25" s="82"/>
      <c r="B25" s="81" t="s">
        <v>658</v>
      </c>
      <c r="C25" s="81"/>
      <c r="D25" s="82"/>
      <c r="E25" s="82"/>
      <c r="F25" s="81"/>
      <c r="G25" s="82"/>
      <c r="H25" s="82"/>
      <c r="I25" s="82"/>
      <c r="J25" s="84"/>
      <c r="K25" s="86">
        <v>300</v>
      </c>
      <c r="L25" s="327">
        <v>300</v>
      </c>
      <c r="M25" s="87"/>
      <c r="N25" s="252"/>
      <c r="O25" s="81" t="s">
        <v>417</v>
      </c>
      <c r="P25" s="194">
        <v>46192</v>
      </c>
    </row>
    <row r="26" spans="1:17" x14ac:dyDescent="0.25">
      <c r="A26" s="82"/>
      <c r="B26" s="81" t="s">
        <v>667</v>
      </c>
      <c r="C26" s="81"/>
      <c r="D26" s="82"/>
      <c r="E26" s="82"/>
      <c r="F26" s="81"/>
      <c r="G26" s="82"/>
      <c r="H26" s="82"/>
      <c r="I26" s="82"/>
      <c r="J26" s="84"/>
      <c r="K26" s="86">
        <v>300</v>
      </c>
      <c r="L26" s="327">
        <f>K26-1.6</f>
        <v>298.39999999999998</v>
      </c>
      <c r="M26" s="87"/>
      <c r="N26" s="252"/>
      <c r="O26" s="81" t="s">
        <v>417</v>
      </c>
      <c r="P26" s="194">
        <v>46192</v>
      </c>
    </row>
    <row r="27" spans="1:17" x14ac:dyDescent="0.25">
      <c r="A27" s="82"/>
      <c r="B27" s="81" t="s">
        <v>692</v>
      </c>
      <c r="C27" s="81"/>
      <c r="D27" s="82"/>
      <c r="E27" s="82"/>
      <c r="F27" s="81"/>
      <c r="G27" s="82"/>
      <c r="H27" s="82"/>
      <c r="I27" s="82"/>
      <c r="J27" s="84"/>
      <c r="K27" s="86">
        <v>300</v>
      </c>
      <c r="L27" s="327">
        <f>K27+2.2</f>
        <v>302.2</v>
      </c>
      <c r="M27" s="87"/>
      <c r="N27" s="252"/>
      <c r="O27" s="81" t="s">
        <v>417</v>
      </c>
      <c r="P27" s="194">
        <v>46196</v>
      </c>
    </row>
    <row r="28" spans="1:17" x14ac:dyDescent="0.25">
      <c r="A28" s="82"/>
      <c r="B28" s="81" t="s">
        <v>736</v>
      </c>
      <c r="C28" s="81"/>
      <c r="D28" s="82"/>
      <c r="E28" s="82"/>
      <c r="F28" s="81"/>
      <c r="G28" s="82"/>
      <c r="H28" s="82"/>
      <c r="I28" s="82"/>
      <c r="J28" s="84"/>
      <c r="K28" s="86">
        <v>300</v>
      </c>
      <c r="L28" s="327">
        <f>K28-0.7</f>
        <v>299.3</v>
      </c>
      <c r="M28" s="87"/>
      <c r="N28" s="252"/>
      <c r="O28" s="81" t="s">
        <v>417</v>
      </c>
      <c r="P28" s="194">
        <v>46219</v>
      </c>
    </row>
    <row r="29" spans="1:17" x14ac:dyDescent="0.25">
      <c r="A29" s="82"/>
      <c r="B29" s="81" t="s">
        <v>760</v>
      </c>
      <c r="C29" s="81"/>
      <c r="D29" s="82"/>
      <c r="E29" s="82"/>
      <c r="F29" s="81"/>
      <c r="G29" s="82"/>
      <c r="H29" s="82"/>
      <c r="I29" s="82"/>
      <c r="J29" s="84"/>
      <c r="K29" s="86">
        <v>300</v>
      </c>
      <c r="L29" s="327">
        <f>K29-13.42</f>
        <v>286.58</v>
      </c>
      <c r="M29" s="87"/>
      <c r="N29" s="252"/>
      <c r="O29" s="81" t="s">
        <v>417</v>
      </c>
      <c r="P29" s="194">
        <v>46237</v>
      </c>
    </row>
    <row r="30" spans="1:17" x14ac:dyDescent="0.25">
      <c r="A30" s="18"/>
      <c r="B30" s="265" t="s">
        <v>778</v>
      </c>
      <c r="C30" s="265"/>
      <c r="D30" s="330"/>
      <c r="E30" s="330"/>
      <c r="F30" s="265"/>
      <c r="G30" s="330"/>
      <c r="H30" s="330"/>
      <c r="I30" s="330"/>
      <c r="J30" s="331"/>
      <c r="K30" s="332">
        <v>300</v>
      </c>
      <c r="L30" s="329"/>
      <c r="M30" s="49"/>
      <c r="N30" s="262"/>
      <c r="O30" s="265" t="s">
        <v>417</v>
      </c>
      <c r="P30" s="157">
        <v>46240</v>
      </c>
      <c r="Q30" s="295" t="s">
        <v>2020</v>
      </c>
    </row>
    <row r="31" spans="1:17" x14ac:dyDescent="0.25">
      <c r="A31" s="18"/>
      <c r="B31" s="17"/>
      <c r="C31" s="17"/>
      <c r="D31" s="18"/>
      <c r="E31" s="18"/>
      <c r="F31" s="17"/>
      <c r="G31" s="18"/>
      <c r="H31" s="18"/>
      <c r="I31" s="18"/>
      <c r="J31" s="15"/>
      <c r="K31" s="37"/>
      <c r="L31" s="329"/>
      <c r="M31" s="49"/>
      <c r="N31" s="262"/>
      <c r="O31" s="17"/>
      <c r="P31" s="18"/>
    </row>
    <row r="32" spans="1:17" x14ac:dyDescent="0.25">
      <c r="A32" s="18"/>
      <c r="B32" s="17"/>
      <c r="C32" s="17"/>
      <c r="D32" s="18"/>
      <c r="E32" s="18"/>
      <c r="F32" s="17"/>
      <c r="G32" s="18"/>
      <c r="H32" s="18"/>
      <c r="I32" s="18"/>
      <c r="J32" s="15"/>
      <c r="K32" s="37"/>
      <c r="L32" s="329"/>
      <c r="M32" s="49"/>
      <c r="N32" s="262"/>
      <c r="O32" s="17"/>
      <c r="P32" s="18"/>
    </row>
    <row r="33" spans="1:17" x14ac:dyDescent="0.25">
      <c r="A33" s="18"/>
      <c r="B33" s="17"/>
      <c r="C33" s="17"/>
      <c r="D33" s="18"/>
      <c r="E33" s="18"/>
      <c r="F33" s="17"/>
      <c r="G33" s="18"/>
      <c r="H33" s="18"/>
      <c r="I33" s="18"/>
      <c r="J33" s="15"/>
      <c r="K33" s="37"/>
      <c r="L33" s="329"/>
      <c r="M33" s="49"/>
      <c r="N33" s="262"/>
      <c r="O33" s="17"/>
      <c r="P33" s="18"/>
    </row>
    <row r="34" spans="1:17" x14ac:dyDescent="0.25">
      <c r="A34" s="18"/>
      <c r="B34" s="17"/>
      <c r="C34" s="17"/>
      <c r="D34" s="18"/>
      <c r="E34" s="18"/>
      <c r="F34" s="17"/>
      <c r="G34" s="18"/>
      <c r="H34" s="18"/>
      <c r="I34" s="18"/>
      <c r="J34" s="15"/>
      <c r="K34" s="37"/>
      <c r="L34" s="329"/>
      <c r="M34" s="49"/>
      <c r="N34" s="262"/>
      <c r="O34" s="17"/>
      <c r="P34" s="18"/>
    </row>
    <row r="35" spans="1:17" x14ac:dyDescent="0.25">
      <c r="A35" s="18"/>
      <c r="B35" s="17"/>
      <c r="C35" s="17"/>
      <c r="D35" s="18"/>
      <c r="E35" s="18"/>
      <c r="F35" s="17"/>
      <c r="G35" s="18"/>
      <c r="H35" s="18"/>
      <c r="I35" s="18"/>
      <c r="J35" s="15"/>
      <c r="K35" s="37"/>
      <c r="L35" s="329"/>
      <c r="M35" s="49"/>
      <c r="N35" s="262"/>
      <c r="O35" s="17"/>
      <c r="P35" s="18"/>
    </row>
    <row r="36" spans="1:17" x14ac:dyDescent="0.25">
      <c r="A36" s="18"/>
      <c r="B36" s="17"/>
      <c r="C36" s="17"/>
      <c r="D36" s="18"/>
      <c r="E36" s="18"/>
      <c r="F36" s="17"/>
      <c r="G36" s="18"/>
      <c r="H36" s="18"/>
      <c r="I36" s="18"/>
      <c r="J36" s="15"/>
      <c r="K36" s="37"/>
      <c r="L36" s="329"/>
      <c r="M36" s="49"/>
      <c r="N36" s="262"/>
      <c r="O36" s="17"/>
      <c r="P36" s="18"/>
    </row>
    <row r="37" spans="1:17" x14ac:dyDescent="0.25">
      <c r="A37" s="18"/>
      <c r="B37" s="17"/>
      <c r="C37" s="17"/>
      <c r="D37" s="18"/>
      <c r="E37" s="18"/>
      <c r="F37" s="17"/>
      <c r="G37" s="18"/>
      <c r="H37" s="18"/>
      <c r="I37" s="18"/>
      <c r="J37" s="15"/>
      <c r="K37" s="37"/>
      <c r="L37" s="329"/>
      <c r="M37" s="49"/>
      <c r="N37" s="262"/>
      <c r="O37" s="17"/>
      <c r="P37" s="18"/>
    </row>
    <row r="38" spans="1:17" x14ac:dyDescent="0.25">
      <c r="A38" s="18"/>
      <c r="B38" s="17"/>
      <c r="C38" s="17"/>
      <c r="D38" s="18"/>
      <c r="E38" s="18"/>
      <c r="F38" s="17"/>
      <c r="G38" s="18"/>
      <c r="H38" s="18"/>
      <c r="I38" s="18"/>
      <c r="J38" s="15"/>
      <c r="K38" s="37"/>
      <c r="L38" s="329"/>
      <c r="M38" s="49"/>
      <c r="N38" s="262"/>
      <c r="O38" s="17"/>
      <c r="P38" s="18"/>
    </row>
    <row r="39" spans="1:17" x14ac:dyDescent="0.25">
      <c r="A39" s="18"/>
      <c r="B39" s="17"/>
      <c r="C39" s="17"/>
      <c r="D39" s="18"/>
      <c r="E39" s="18"/>
      <c r="F39" s="17"/>
      <c r="G39" s="18"/>
      <c r="H39" s="18"/>
      <c r="I39" s="18"/>
      <c r="J39" s="15"/>
      <c r="K39" s="37"/>
      <c r="L39" s="329"/>
      <c r="M39" s="49"/>
      <c r="N39" s="262"/>
      <c r="O39" s="17"/>
      <c r="P39" s="18"/>
    </row>
    <row r="40" spans="1:17" x14ac:dyDescent="0.25">
      <c r="A40" s="18"/>
      <c r="B40" s="17"/>
      <c r="C40" s="17"/>
      <c r="D40" s="18"/>
      <c r="E40" s="18"/>
      <c r="F40" s="17"/>
      <c r="G40" s="18"/>
      <c r="H40" s="18"/>
      <c r="I40" s="18"/>
      <c r="J40" s="15"/>
      <c r="K40" s="37"/>
      <c r="L40" s="329"/>
      <c r="M40" s="49"/>
      <c r="N40" s="262"/>
      <c r="O40" s="17"/>
      <c r="P40" s="18"/>
    </row>
    <row r="41" spans="1:17" x14ac:dyDescent="0.25">
      <c r="A41" s="18"/>
      <c r="B41" s="17"/>
      <c r="C41" s="17"/>
      <c r="D41" s="18"/>
      <c r="E41" s="18"/>
      <c r="F41" s="278"/>
      <c r="G41" s="18"/>
      <c r="H41" s="18"/>
      <c r="I41" s="18"/>
      <c r="J41" s="15"/>
      <c r="K41" s="37"/>
      <c r="L41" s="328"/>
      <c r="M41" s="47"/>
      <c r="N41" s="263"/>
      <c r="O41" s="17"/>
      <c r="P41" s="79"/>
      <c r="Q41" s="154"/>
    </row>
    <row r="42" spans="1:17" x14ac:dyDescent="0.25">
      <c r="A42" s="18"/>
      <c r="B42" s="17"/>
      <c r="C42" s="17"/>
      <c r="D42" s="18"/>
      <c r="E42" s="18"/>
      <c r="F42" s="278"/>
      <c r="G42" s="18"/>
      <c r="H42" s="18"/>
      <c r="I42" s="18"/>
      <c r="J42" s="15"/>
      <c r="K42" s="37"/>
      <c r="L42" s="328"/>
      <c r="M42" s="47"/>
      <c r="N42" s="263"/>
      <c r="O42" s="17"/>
      <c r="P42" s="79"/>
      <c r="Q42" s="154"/>
    </row>
    <row r="43" spans="1:17" x14ac:dyDescent="0.25">
      <c r="A43" s="18"/>
      <c r="B43" s="17"/>
      <c r="C43" s="17"/>
      <c r="D43" s="18"/>
      <c r="E43" s="18"/>
      <c r="F43" s="278"/>
      <c r="G43" s="18"/>
      <c r="H43" s="18"/>
      <c r="I43" s="18"/>
      <c r="J43" s="15"/>
      <c r="K43" s="37"/>
      <c r="L43" s="326"/>
      <c r="M43" s="47"/>
      <c r="N43" s="263"/>
      <c r="O43" s="17"/>
      <c r="P43" s="79"/>
    </row>
    <row r="44" spans="1:17" x14ac:dyDescent="0.25">
      <c r="A44" s="18"/>
      <c r="B44" s="17"/>
      <c r="C44" s="17"/>
      <c r="D44" s="18"/>
      <c r="E44" s="18"/>
      <c r="F44" s="17"/>
      <c r="G44" s="18"/>
      <c r="H44" s="18"/>
      <c r="I44" s="18"/>
      <c r="J44" s="15"/>
      <c r="K44" s="37"/>
      <c r="L44" s="328"/>
      <c r="M44" s="47"/>
      <c r="N44" s="263"/>
      <c r="O44" s="17"/>
      <c r="P44" s="18"/>
      <c r="Q44" s="154"/>
    </row>
    <row r="45" spans="1:17" x14ac:dyDescent="0.25">
      <c r="A45" s="18"/>
      <c r="B45" s="17"/>
      <c r="C45" s="17"/>
      <c r="D45" s="18"/>
      <c r="E45" s="18"/>
      <c r="F45" s="17"/>
      <c r="G45" s="18"/>
      <c r="H45" s="18"/>
      <c r="I45" s="18"/>
      <c r="J45" s="15"/>
      <c r="K45" s="37"/>
      <c r="L45" s="328"/>
      <c r="M45" s="47"/>
      <c r="N45" s="263"/>
      <c r="O45" s="17"/>
      <c r="P45" s="18"/>
    </row>
    <row r="46" spans="1:17" x14ac:dyDescent="0.25">
      <c r="A46" s="18"/>
      <c r="B46" s="17"/>
      <c r="C46" s="17"/>
      <c r="D46" s="18"/>
      <c r="E46" s="18"/>
      <c r="F46" s="17"/>
      <c r="G46" s="18"/>
      <c r="H46" s="18"/>
      <c r="I46" s="18"/>
      <c r="J46" s="15"/>
      <c r="K46" s="37"/>
      <c r="L46" s="328"/>
      <c r="M46" s="47"/>
      <c r="N46" s="263"/>
      <c r="O46" s="17"/>
      <c r="P46" s="18"/>
    </row>
    <row r="47" spans="1:17" x14ac:dyDescent="0.25">
      <c r="A47" s="18"/>
      <c r="B47" s="17"/>
      <c r="C47" s="17"/>
      <c r="D47" s="18"/>
      <c r="E47" s="18"/>
      <c r="F47" s="17"/>
      <c r="G47" s="18"/>
      <c r="H47" s="18"/>
      <c r="I47" s="18"/>
      <c r="J47" s="15"/>
      <c r="K47" s="37"/>
      <c r="L47" s="328"/>
      <c r="M47" s="47"/>
      <c r="N47" s="263"/>
      <c r="O47" s="17"/>
      <c r="P47" s="18"/>
    </row>
    <row r="48" spans="1:17" x14ac:dyDescent="0.25">
      <c r="A48" s="18"/>
      <c r="B48" s="17"/>
      <c r="C48" s="17"/>
      <c r="D48" s="18"/>
      <c r="E48" s="18"/>
      <c r="F48" s="17"/>
      <c r="G48" s="18"/>
      <c r="H48" s="18"/>
      <c r="I48" s="18"/>
      <c r="J48" s="15"/>
      <c r="K48" s="37"/>
      <c r="L48" s="328"/>
      <c r="M48" s="47"/>
      <c r="N48" s="263"/>
      <c r="O48" s="17"/>
      <c r="P48" s="18"/>
    </row>
    <row r="49" spans="1:16" x14ac:dyDescent="0.25">
      <c r="A49" s="18"/>
      <c r="B49" s="17"/>
      <c r="C49" s="17"/>
      <c r="D49" s="18"/>
      <c r="E49" s="18"/>
      <c r="F49" s="17"/>
      <c r="G49" s="18"/>
      <c r="H49" s="18"/>
      <c r="I49" s="18"/>
      <c r="J49" s="15"/>
      <c r="K49" s="37"/>
      <c r="L49" s="328"/>
      <c r="M49" s="47"/>
      <c r="N49" s="263"/>
      <c r="O49" s="17"/>
      <c r="P49" s="18"/>
    </row>
    <row r="50" spans="1:16" x14ac:dyDescent="0.25">
      <c r="A50" s="18"/>
      <c r="B50" s="17"/>
      <c r="C50" s="17"/>
      <c r="D50" s="18"/>
      <c r="E50" s="18"/>
      <c r="F50" s="17"/>
      <c r="G50" s="18"/>
      <c r="H50" s="18"/>
      <c r="I50" s="18"/>
      <c r="J50" s="15"/>
      <c r="K50" s="37"/>
      <c r="L50" s="328"/>
      <c r="M50" s="47"/>
      <c r="N50" s="263"/>
      <c r="O50" s="17"/>
      <c r="P50" s="18"/>
    </row>
    <row r="51" spans="1:16" x14ac:dyDescent="0.25">
      <c r="A51" s="18"/>
      <c r="B51" s="17"/>
      <c r="C51" s="17"/>
      <c r="D51" s="18"/>
      <c r="E51" s="18"/>
      <c r="F51" s="17"/>
      <c r="G51" s="18"/>
      <c r="H51" s="18"/>
      <c r="I51" s="18"/>
      <c r="J51" s="15"/>
      <c r="K51" s="37"/>
      <c r="L51" s="328"/>
      <c r="M51" s="47"/>
      <c r="N51" s="263"/>
      <c r="O51" s="17"/>
      <c r="P51" s="18"/>
    </row>
    <row r="52" spans="1:16" x14ac:dyDescent="0.25">
      <c r="A52" s="18"/>
      <c r="B52" s="17"/>
      <c r="C52" s="17"/>
      <c r="D52" s="18"/>
      <c r="E52" s="18"/>
      <c r="F52" s="17"/>
      <c r="G52" s="18"/>
      <c r="H52" s="18"/>
      <c r="I52" s="18"/>
      <c r="J52" s="15"/>
      <c r="K52" s="37"/>
      <c r="L52" s="328"/>
      <c r="M52" s="47"/>
      <c r="N52" s="263"/>
      <c r="O52" s="17"/>
      <c r="P52" s="18"/>
    </row>
    <row r="53" spans="1:16" x14ac:dyDescent="0.25">
      <c r="A53" s="18"/>
      <c r="B53" s="17"/>
      <c r="C53" s="17"/>
      <c r="D53" s="18"/>
      <c r="E53" s="18"/>
      <c r="F53" s="17"/>
      <c r="G53" s="18"/>
      <c r="H53" s="18"/>
      <c r="I53" s="18"/>
      <c r="J53" s="15"/>
      <c r="K53" s="37"/>
      <c r="L53" s="328"/>
      <c r="M53" s="47"/>
      <c r="N53" s="263"/>
      <c r="O53" s="17"/>
      <c r="P53" s="18"/>
    </row>
    <row r="54" spans="1:16" x14ac:dyDescent="0.25">
      <c r="A54" s="18"/>
      <c r="B54" s="17"/>
      <c r="C54" s="17"/>
      <c r="D54" s="18"/>
      <c r="E54" s="18"/>
      <c r="F54" s="17"/>
      <c r="G54" s="18"/>
      <c r="H54" s="18"/>
      <c r="I54" s="18"/>
      <c r="J54" s="15"/>
      <c r="K54" s="37"/>
      <c r="L54" s="328"/>
      <c r="M54" s="47"/>
      <c r="N54" s="263"/>
      <c r="O54" s="17"/>
      <c r="P54" s="18"/>
    </row>
    <row r="55" spans="1:16" x14ac:dyDescent="0.25">
      <c r="A55" s="18"/>
      <c r="B55" s="17"/>
      <c r="C55" s="17"/>
      <c r="D55" s="18"/>
      <c r="E55" s="18"/>
      <c r="F55" s="17"/>
      <c r="G55" s="18"/>
      <c r="H55" s="18"/>
      <c r="I55" s="18"/>
      <c r="J55" s="15"/>
      <c r="K55" s="37"/>
      <c r="L55" s="328"/>
      <c r="M55" s="47"/>
      <c r="N55" s="263"/>
      <c r="O55" s="17"/>
      <c r="P55" s="18"/>
    </row>
    <row r="56" spans="1:16" x14ac:dyDescent="0.25">
      <c r="A56" s="18"/>
      <c r="B56" s="17"/>
      <c r="C56" s="17"/>
      <c r="D56" s="18"/>
      <c r="E56" s="18"/>
      <c r="F56" s="17"/>
      <c r="G56" s="18"/>
      <c r="H56" s="18"/>
      <c r="I56" s="18"/>
      <c r="J56" s="15"/>
      <c r="K56" s="37"/>
      <c r="L56" s="328"/>
      <c r="M56" s="47"/>
      <c r="N56" s="263"/>
      <c r="O56" s="17"/>
      <c r="P56" s="18"/>
    </row>
    <row r="57" spans="1:16" x14ac:dyDescent="0.25">
      <c r="A57" s="18"/>
      <c r="B57" s="17"/>
      <c r="C57" s="17"/>
      <c r="D57" s="18"/>
      <c r="E57" s="18"/>
      <c r="F57" s="17"/>
      <c r="G57" s="18"/>
      <c r="H57" s="18"/>
      <c r="I57" s="18"/>
      <c r="J57" s="15"/>
      <c r="K57" s="37"/>
      <c r="L57" s="328"/>
      <c r="M57" s="47"/>
      <c r="N57" s="263"/>
      <c r="O57" s="17"/>
      <c r="P57" s="18"/>
    </row>
    <row r="58" spans="1:16" x14ac:dyDescent="0.25">
      <c r="A58" s="18"/>
      <c r="B58" s="17"/>
      <c r="C58" s="17"/>
      <c r="D58" s="18"/>
      <c r="E58" s="18"/>
      <c r="F58" s="17"/>
      <c r="G58" s="18"/>
      <c r="H58" s="18"/>
      <c r="I58" s="18"/>
      <c r="J58" s="15"/>
      <c r="K58" s="37"/>
      <c r="L58" s="328"/>
      <c r="M58" s="47"/>
      <c r="N58" s="263"/>
      <c r="O58" s="17"/>
      <c r="P58" s="18"/>
    </row>
    <row r="59" spans="1:16" x14ac:dyDescent="0.25">
      <c r="A59" s="18"/>
      <c r="B59" s="17"/>
      <c r="C59" s="17"/>
      <c r="D59" s="18"/>
      <c r="E59" s="18"/>
      <c r="F59" s="17"/>
      <c r="G59" s="18"/>
      <c r="H59" s="18"/>
      <c r="I59" s="18"/>
      <c r="J59" s="15"/>
      <c r="K59" s="37"/>
      <c r="L59" s="328"/>
      <c r="M59" s="47"/>
      <c r="N59" s="263"/>
      <c r="O59" s="17"/>
      <c r="P59" s="18"/>
    </row>
    <row r="60" spans="1:16" x14ac:dyDescent="0.25">
      <c r="A60" s="18"/>
      <c r="B60" s="17"/>
      <c r="C60" s="17"/>
      <c r="D60" s="18"/>
      <c r="E60" s="18"/>
      <c r="F60" s="17"/>
      <c r="G60" s="18"/>
      <c r="H60" s="18"/>
      <c r="I60" s="18"/>
      <c r="J60" s="15"/>
      <c r="K60" s="37"/>
      <c r="L60" s="328"/>
      <c r="M60" s="47"/>
      <c r="N60" s="263"/>
      <c r="O60" s="17"/>
      <c r="P60" s="18"/>
    </row>
    <row r="61" spans="1:16" x14ac:dyDescent="0.25">
      <c r="A61" s="18"/>
      <c r="B61" s="17"/>
      <c r="C61" s="17"/>
      <c r="D61" s="18"/>
      <c r="E61" s="18"/>
      <c r="F61" s="17"/>
      <c r="G61" s="18"/>
      <c r="H61" s="18"/>
      <c r="I61" s="18"/>
      <c r="J61" s="15"/>
      <c r="K61" s="37"/>
      <c r="L61" s="328"/>
      <c r="M61" s="47"/>
      <c r="N61" s="263"/>
      <c r="O61" s="17"/>
      <c r="P61" s="18"/>
    </row>
    <row r="62" spans="1:16" s="197" customFormat="1" x14ac:dyDescent="0.25">
      <c r="A62" s="18"/>
      <c r="B62" s="17"/>
      <c r="C62" s="17"/>
      <c r="D62" s="18"/>
      <c r="E62" s="18"/>
      <c r="F62" s="17"/>
      <c r="G62" s="18"/>
      <c r="H62" s="18"/>
      <c r="I62" s="18"/>
      <c r="J62" s="15"/>
      <c r="K62" s="37"/>
      <c r="L62" s="328"/>
      <c r="M62" s="47"/>
      <c r="N62" s="263"/>
      <c r="O62" s="17"/>
      <c r="P62" s="18"/>
    </row>
    <row r="63" spans="1:16" x14ac:dyDescent="0.25">
      <c r="A63" s="18"/>
      <c r="B63" s="17"/>
      <c r="C63" s="17"/>
      <c r="D63" s="18"/>
      <c r="E63" s="18"/>
      <c r="F63" s="17"/>
      <c r="G63" s="18"/>
      <c r="H63" s="18"/>
      <c r="I63" s="18"/>
      <c r="J63" s="15"/>
      <c r="K63" s="37"/>
      <c r="L63" s="328"/>
      <c r="M63" s="47"/>
      <c r="N63" s="263"/>
      <c r="O63" s="17"/>
      <c r="P63" s="18"/>
    </row>
    <row r="64" spans="1:16" x14ac:dyDescent="0.25">
      <c r="A64" s="18"/>
      <c r="B64" s="17"/>
      <c r="C64" s="17"/>
      <c r="D64" s="18"/>
      <c r="E64" s="18"/>
      <c r="F64" s="17"/>
      <c r="G64" s="18"/>
      <c r="H64" s="18"/>
      <c r="I64" s="18"/>
      <c r="J64" s="15"/>
      <c r="K64" s="37"/>
      <c r="L64" s="328"/>
      <c r="M64" s="47"/>
      <c r="N64" s="263"/>
      <c r="O64" s="17"/>
      <c r="P64" s="18"/>
    </row>
    <row r="65" spans="1:16" x14ac:dyDescent="0.25">
      <c r="A65" s="18"/>
      <c r="B65" s="17"/>
      <c r="C65" s="17"/>
      <c r="D65" s="18"/>
      <c r="E65" s="18"/>
      <c r="F65" s="17"/>
      <c r="G65" s="18"/>
      <c r="H65" s="18"/>
      <c r="I65" s="18"/>
      <c r="J65" s="15"/>
      <c r="K65" s="37"/>
      <c r="L65" s="328"/>
      <c r="M65" s="47"/>
      <c r="N65" s="263"/>
      <c r="O65" s="17"/>
      <c r="P65" s="18"/>
    </row>
    <row r="66" spans="1:16" s="197" customFormat="1" x14ac:dyDescent="0.25">
      <c r="A66" s="18"/>
      <c r="B66" s="17"/>
      <c r="C66" s="17"/>
      <c r="D66" s="18"/>
      <c r="E66" s="18"/>
      <c r="F66" s="17"/>
      <c r="G66" s="18"/>
      <c r="H66" s="18"/>
      <c r="I66" s="18"/>
      <c r="J66" s="15"/>
      <c r="K66" s="37"/>
      <c r="L66" s="328"/>
      <c r="M66" s="47"/>
      <c r="N66" s="263"/>
      <c r="O66" s="17"/>
      <c r="P66" s="18"/>
    </row>
    <row r="67" spans="1:16" x14ac:dyDescent="0.25">
      <c r="A67" s="18"/>
      <c r="B67" s="17"/>
      <c r="C67" s="17"/>
      <c r="D67" s="18"/>
      <c r="E67" s="18"/>
      <c r="F67" s="17"/>
      <c r="G67" s="18"/>
      <c r="H67" s="18"/>
      <c r="I67" s="18"/>
      <c r="J67" s="15"/>
      <c r="K67" s="37"/>
      <c r="L67" s="328"/>
      <c r="M67" s="47"/>
      <c r="N67" s="263"/>
      <c r="O67" s="17"/>
      <c r="P67" s="18"/>
    </row>
    <row r="68" spans="1:16" s="197" customFormat="1" x14ac:dyDescent="0.25">
      <c r="A68" s="18"/>
      <c r="B68" s="17"/>
      <c r="C68" s="17"/>
      <c r="D68" s="18"/>
      <c r="E68" s="18"/>
      <c r="F68" s="17"/>
      <c r="G68" s="18"/>
      <c r="H68" s="18"/>
      <c r="I68" s="18"/>
      <c r="J68" s="15"/>
      <c r="K68" s="37"/>
      <c r="L68" s="328"/>
      <c r="M68" s="47"/>
      <c r="N68" s="263"/>
      <c r="O68" s="17"/>
      <c r="P68" s="18"/>
    </row>
    <row r="69" spans="1:16" s="197" customFormat="1" x14ac:dyDescent="0.25">
      <c r="A69" s="18"/>
      <c r="B69" s="17"/>
      <c r="C69" s="17"/>
      <c r="D69" s="18"/>
      <c r="E69" s="18"/>
      <c r="F69" s="17"/>
      <c r="G69" s="18"/>
      <c r="H69" s="18"/>
      <c r="I69" s="18"/>
      <c r="J69" s="15"/>
      <c r="K69" s="37"/>
      <c r="L69" s="328"/>
      <c r="M69" s="47"/>
      <c r="N69" s="263"/>
      <c r="O69" s="17"/>
      <c r="P69" s="18"/>
    </row>
    <row r="70" spans="1:16" x14ac:dyDescent="0.25">
      <c r="A70" s="18"/>
      <c r="B70" s="17"/>
      <c r="C70" s="17"/>
      <c r="D70" s="18"/>
      <c r="E70" s="18"/>
      <c r="F70" s="17"/>
      <c r="G70" s="18"/>
      <c r="H70" s="18"/>
      <c r="I70" s="18"/>
      <c r="J70" s="15"/>
      <c r="K70" s="37"/>
      <c r="L70" s="328"/>
      <c r="M70" s="47"/>
      <c r="N70" s="263"/>
      <c r="O70" s="17"/>
      <c r="P70" s="18"/>
    </row>
    <row r="71" spans="1:16" x14ac:dyDescent="0.25">
      <c r="A71" s="18"/>
      <c r="B71" s="17"/>
      <c r="C71" s="17"/>
      <c r="D71" s="18"/>
      <c r="E71" s="18"/>
      <c r="F71" s="17"/>
      <c r="G71" s="18"/>
      <c r="H71" s="18"/>
      <c r="I71" s="18"/>
      <c r="J71" s="15"/>
      <c r="K71" s="37"/>
      <c r="L71" s="328"/>
      <c r="M71" s="47"/>
      <c r="N71" s="263"/>
      <c r="O71" s="17"/>
      <c r="P71" s="18"/>
    </row>
    <row r="72" spans="1:16" x14ac:dyDescent="0.25">
      <c r="A72" s="18"/>
      <c r="B72" s="17"/>
      <c r="C72" s="17"/>
      <c r="D72" s="18"/>
      <c r="E72" s="18"/>
      <c r="F72" s="17"/>
      <c r="G72" s="18"/>
      <c r="H72" s="18"/>
      <c r="I72" s="18"/>
      <c r="J72" s="15"/>
      <c r="K72" s="37"/>
      <c r="L72" s="328"/>
      <c r="M72" s="47"/>
      <c r="N72" s="263"/>
      <c r="O72" s="17"/>
      <c r="P72" s="18"/>
    </row>
    <row r="73" spans="1:16" x14ac:dyDescent="0.25">
      <c r="A73" s="18"/>
      <c r="B73" s="17"/>
      <c r="C73" s="17"/>
      <c r="D73" s="18"/>
      <c r="E73" s="18"/>
      <c r="F73" s="17"/>
      <c r="G73" s="18"/>
      <c r="H73" s="18"/>
      <c r="I73" s="18"/>
      <c r="J73" s="15"/>
      <c r="K73" s="37"/>
      <c r="L73" s="328"/>
      <c r="M73" s="47"/>
      <c r="N73" s="263"/>
      <c r="O73" s="17"/>
      <c r="P73" s="18"/>
    </row>
    <row r="74" spans="1:16" x14ac:dyDescent="0.25">
      <c r="A74" s="18"/>
      <c r="B74" s="17"/>
      <c r="C74" s="17"/>
      <c r="D74" s="18"/>
      <c r="E74" s="18"/>
      <c r="F74" s="17"/>
      <c r="G74" s="18"/>
      <c r="H74" s="18"/>
      <c r="I74" s="18"/>
      <c r="J74" s="15"/>
      <c r="K74" s="37"/>
      <c r="L74" s="328"/>
      <c r="M74" s="47"/>
      <c r="N74" s="263"/>
      <c r="O74" s="17"/>
      <c r="P74" s="18"/>
    </row>
    <row r="75" spans="1:16" x14ac:dyDescent="0.25">
      <c r="A75" s="18"/>
      <c r="B75" s="17"/>
      <c r="C75" s="17"/>
      <c r="D75" s="18"/>
      <c r="E75" s="18"/>
      <c r="F75" s="17"/>
      <c r="G75" s="18"/>
      <c r="H75" s="18"/>
      <c r="I75" s="18"/>
      <c r="J75" s="15"/>
      <c r="K75" s="37"/>
      <c r="L75" s="328"/>
      <c r="M75" s="47"/>
      <c r="N75" s="263"/>
      <c r="O75" s="17"/>
      <c r="P75" s="18"/>
    </row>
    <row r="76" spans="1:16" x14ac:dyDescent="0.25">
      <c r="A76" s="18"/>
      <c r="B76" s="17"/>
      <c r="C76" s="17"/>
      <c r="D76" s="18"/>
      <c r="E76" s="18"/>
      <c r="F76" s="17"/>
      <c r="G76" s="18"/>
      <c r="H76" s="18"/>
      <c r="I76" s="18"/>
      <c r="J76" s="15"/>
      <c r="K76" s="37"/>
      <c r="L76" s="328"/>
      <c r="M76" s="47"/>
      <c r="N76" s="263"/>
      <c r="O76" s="17"/>
      <c r="P76" s="18"/>
    </row>
    <row r="77" spans="1:16" x14ac:dyDescent="0.25">
      <c r="A77" s="18"/>
      <c r="B77" s="17"/>
      <c r="C77" s="17"/>
      <c r="D77" s="18"/>
      <c r="E77" s="18"/>
      <c r="F77" s="17"/>
      <c r="G77" s="18"/>
      <c r="H77" s="18"/>
      <c r="I77" s="18"/>
      <c r="J77" s="15"/>
      <c r="K77" s="37"/>
      <c r="L77" s="328"/>
      <c r="M77" s="47"/>
      <c r="N77" s="263"/>
      <c r="O77" s="17"/>
      <c r="P77" s="18"/>
    </row>
    <row r="78" spans="1:16" x14ac:dyDescent="0.25">
      <c r="A78" s="18"/>
      <c r="B78" s="17"/>
      <c r="C78" s="17"/>
      <c r="D78" s="18"/>
      <c r="E78" s="18"/>
      <c r="F78" s="17"/>
      <c r="G78" s="18"/>
      <c r="H78" s="18"/>
      <c r="I78" s="18"/>
      <c r="J78" s="15"/>
      <c r="K78" s="37"/>
      <c r="L78" s="328"/>
      <c r="M78" s="47"/>
      <c r="N78" s="263"/>
      <c r="O78" s="17"/>
      <c r="P78" s="18"/>
    </row>
    <row r="79" spans="1:16" s="197" customFormat="1" x14ac:dyDescent="0.25">
      <c r="A79" s="18"/>
      <c r="B79" s="17"/>
      <c r="C79" s="17"/>
      <c r="D79" s="18"/>
      <c r="E79" s="18"/>
      <c r="F79" s="17"/>
      <c r="G79" s="18"/>
      <c r="H79" s="18"/>
      <c r="I79" s="18"/>
      <c r="J79" s="15"/>
      <c r="K79" s="37"/>
      <c r="L79" s="328"/>
      <c r="M79" s="47"/>
      <c r="N79" s="263"/>
      <c r="O79" s="17"/>
      <c r="P79" s="18"/>
    </row>
    <row r="80" spans="1:16" x14ac:dyDescent="0.25">
      <c r="A80" s="18"/>
      <c r="B80" s="17"/>
      <c r="C80" s="17"/>
      <c r="D80" s="18"/>
      <c r="E80" s="18"/>
      <c r="F80" s="17"/>
      <c r="G80" s="18"/>
      <c r="H80" s="18"/>
      <c r="I80" s="18"/>
      <c r="J80" s="15"/>
      <c r="K80" s="37"/>
      <c r="L80" s="328"/>
      <c r="M80" s="47"/>
      <c r="N80" s="263"/>
      <c r="O80" s="17"/>
      <c r="P80" s="18"/>
    </row>
    <row r="81" spans="1:16" x14ac:dyDescent="0.25">
      <c r="A81" s="18"/>
      <c r="B81" s="17"/>
      <c r="C81" s="17"/>
      <c r="D81" s="18"/>
      <c r="E81" s="18"/>
      <c r="F81" s="17"/>
      <c r="G81" s="18"/>
      <c r="H81" s="18"/>
      <c r="I81" s="18"/>
      <c r="J81" s="15"/>
      <c r="K81" s="37"/>
      <c r="L81" s="328"/>
      <c r="M81" s="47"/>
      <c r="N81" s="263"/>
      <c r="O81" s="17"/>
      <c r="P81" s="18"/>
    </row>
    <row r="82" spans="1:16" x14ac:dyDescent="0.25">
      <c r="A82" s="18"/>
      <c r="B82" s="17"/>
      <c r="C82" s="17"/>
      <c r="D82" s="18"/>
      <c r="E82" s="18"/>
      <c r="F82" s="17"/>
      <c r="G82" s="18"/>
      <c r="H82" s="18"/>
      <c r="I82" s="18"/>
      <c r="J82" s="15"/>
      <c r="K82" s="37"/>
      <c r="L82" s="328"/>
      <c r="M82" s="47"/>
      <c r="N82" s="263"/>
      <c r="O82" s="17"/>
      <c r="P82" s="18"/>
    </row>
    <row r="83" spans="1:16" s="197" customFormat="1" x14ac:dyDescent="0.25">
      <c r="A83" s="18"/>
      <c r="B83" s="17"/>
      <c r="C83" s="17"/>
      <c r="D83" s="18"/>
      <c r="E83" s="18"/>
      <c r="F83" s="17"/>
      <c r="G83" s="18"/>
      <c r="H83" s="18"/>
      <c r="I83" s="18"/>
      <c r="J83" s="15"/>
      <c r="K83" s="37"/>
      <c r="L83" s="328"/>
      <c r="M83" s="47"/>
      <c r="N83" s="263"/>
      <c r="O83" s="17"/>
      <c r="P83" s="18"/>
    </row>
    <row r="84" spans="1:16" x14ac:dyDescent="0.25">
      <c r="A84" s="18"/>
      <c r="B84" s="17"/>
      <c r="C84" s="17"/>
      <c r="D84" s="18"/>
      <c r="E84" s="18"/>
      <c r="F84" s="17"/>
      <c r="G84" s="18"/>
      <c r="H84" s="18"/>
      <c r="I84" s="18"/>
      <c r="J84" s="15"/>
      <c r="K84" s="37"/>
      <c r="L84" s="328"/>
      <c r="M84" s="47"/>
      <c r="N84" s="263"/>
      <c r="O84" s="17"/>
      <c r="P84" s="18"/>
    </row>
    <row r="85" spans="1:16" x14ac:dyDescent="0.25">
      <c r="A85" s="18"/>
      <c r="B85" s="17"/>
      <c r="C85" s="17"/>
      <c r="D85" s="18"/>
      <c r="E85" s="18"/>
      <c r="F85" s="17"/>
      <c r="G85" s="18"/>
      <c r="H85" s="18"/>
      <c r="I85" s="18"/>
      <c r="J85" s="15"/>
      <c r="K85" s="37"/>
      <c r="L85" s="328"/>
      <c r="M85" s="47"/>
      <c r="N85" s="263"/>
      <c r="O85" s="17"/>
      <c r="P85" s="18"/>
    </row>
    <row r="86" spans="1:16" x14ac:dyDescent="0.25">
      <c r="A86" s="18"/>
      <c r="B86" s="17"/>
      <c r="C86" s="17"/>
      <c r="D86" s="18"/>
      <c r="E86" s="18"/>
      <c r="F86" s="17"/>
      <c r="G86" s="18"/>
      <c r="H86" s="18"/>
      <c r="I86" s="18"/>
      <c r="J86" s="15"/>
      <c r="K86" s="37"/>
      <c r="L86" s="328"/>
      <c r="M86" s="47"/>
      <c r="N86" s="263"/>
      <c r="O86" s="17"/>
      <c r="P86" s="18"/>
    </row>
    <row r="87" spans="1:16" x14ac:dyDescent="0.25">
      <c r="A87" s="18"/>
      <c r="B87" s="17"/>
      <c r="C87" s="17"/>
      <c r="D87" s="18"/>
      <c r="E87" s="18"/>
      <c r="F87" s="17"/>
      <c r="G87" s="18"/>
      <c r="H87" s="18"/>
      <c r="I87" s="18"/>
      <c r="J87" s="15"/>
      <c r="K87" s="37"/>
      <c r="L87" s="328"/>
      <c r="M87" s="47"/>
      <c r="N87" s="263"/>
      <c r="O87" s="17"/>
      <c r="P87" s="18"/>
    </row>
    <row r="88" spans="1:16" s="197" customFormat="1" x14ac:dyDescent="0.25">
      <c r="A88" s="18"/>
      <c r="B88" s="17"/>
      <c r="C88" s="17"/>
      <c r="D88" s="18"/>
      <c r="E88" s="18"/>
      <c r="F88" s="17"/>
      <c r="G88" s="18"/>
      <c r="H88" s="18"/>
      <c r="I88" s="18"/>
      <c r="J88" s="15"/>
      <c r="K88" s="37"/>
      <c r="L88" s="328"/>
      <c r="M88" s="47"/>
      <c r="N88" s="263"/>
      <c r="O88" s="17"/>
      <c r="P88" s="18"/>
    </row>
    <row r="89" spans="1:16" s="197" customFormat="1" x14ac:dyDescent="0.25">
      <c r="A89" s="18"/>
      <c r="B89" s="17"/>
      <c r="C89" s="17"/>
      <c r="D89" s="18"/>
      <c r="E89" s="18"/>
      <c r="F89" s="17"/>
      <c r="G89" s="18"/>
      <c r="H89" s="18"/>
      <c r="I89" s="18"/>
      <c r="J89" s="15"/>
      <c r="K89" s="37"/>
      <c r="L89" s="328"/>
      <c r="M89" s="47"/>
      <c r="N89" s="263"/>
      <c r="O89" s="17"/>
      <c r="P89" s="18"/>
    </row>
    <row r="90" spans="1:16" x14ac:dyDescent="0.25">
      <c r="A90" s="18"/>
      <c r="B90" s="17"/>
      <c r="C90" s="17"/>
      <c r="D90" s="18"/>
      <c r="E90" s="18"/>
      <c r="F90" s="17"/>
      <c r="G90" s="18"/>
      <c r="H90" s="18"/>
      <c r="I90" s="18"/>
      <c r="J90" s="15"/>
      <c r="K90" s="37"/>
      <c r="L90" s="328"/>
      <c r="M90" s="47"/>
      <c r="N90" s="263"/>
      <c r="O90" s="17"/>
      <c r="P90" s="18"/>
    </row>
    <row r="91" spans="1:16" s="45" customFormat="1" x14ac:dyDescent="0.25">
      <c r="A91" s="18"/>
      <c r="B91" s="17"/>
      <c r="C91" s="17"/>
      <c r="D91" s="18"/>
      <c r="E91" s="18"/>
      <c r="F91" s="17"/>
      <c r="G91" s="18"/>
      <c r="H91" s="18"/>
      <c r="I91" s="18"/>
      <c r="J91" s="15"/>
      <c r="K91" s="37"/>
      <c r="L91" s="328"/>
      <c r="M91" s="47"/>
      <c r="N91" s="263"/>
      <c r="O91" s="17"/>
      <c r="P91" s="18"/>
    </row>
    <row r="92" spans="1:16" x14ac:dyDescent="0.25">
      <c r="A92" s="18"/>
      <c r="B92" s="17"/>
      <c r="C92" s="17"/>
      <c r="D92" s="18"/>
      <c r="E92" s="18"/>
      <c r="F92" s="17"/>
      <c r="G92" s="18"/>
      <c r="H92" s="18"/>
      <c r="I92" s="18"/>
      <c r="J92" s="15"/>
      <c r="K92" s="37"/>
      <c r="L92" s="328"/>
      <c r="M92" s="47"/>
      <c r="N92" s="263"/>
      <c r="O92" s="17"/>
      <c r="P92" s="18"/>
    </row>
    <row r="93" spans="1:16" x14ac:dyDescent="0.25">
      <c r="A93" s="18"/>
      <c r="B93" s="17"/>
      <c r="C93" s="17"/>
      <c r="D93" s="18"/>
      <c r="E93" s="18"/>
      <c r="F93" s="17"/>
      <c r="G93" s="18"/>
      <c r="H93" s="18"/>
      <c r="I93" s="18"/>
      <c r="J93" s="15"/>
      <c r="K93" s="37"/>
      <c r="L93" s="328"/>
      <c r="M93" s="47"/>
      <c r="N93" s="263"/>
      <c r="O93" s="17"/>
      <c r="P93" s="18"/>
    </row>
    <row r="94" spans="1:16" x14ac:dyDescent="0.25">
      <c r="A94" s="18"/>
      <c r="B94" s="17"/>
      <c r="C94" s="17"/>
      <c r="D94" s="18"/>
      <c r="E94" s="18"/>
      <c r="F94" s="17"/>
      <c r="G94" s="18"/>
      <c r="H94" s="18"/>
      <c r="I94" s="18"/>
      <c r="J94" s="15"/>
      <c r="K94" s="37"/>
      <c r="L94" s="328"/>
      <c r="M94" s="47"/>
      <c r="N94" s="263"/>
      <c r="O94" s="17"/>
      <c r="P94" s="18"/>
    </row>
    <row r="95" spans="1:16" x14ac:dyDescent="0.25">
      <c r="A95" s="18"/>
      <c r="B95" s="17"/>
      <c r="C95" s="17"/>
      <c r="D95" s="18"/>
      <c r="E95" s="18"/>
      <c r="F95" s="17"/>
      <c r="G95" s="18"/>
      <c r="H95" s="18"/>
      <c r="I95" s="18"/>
      <c r="J95" s="15"/>
      <c r="K95" s="37"/>
      <c r="L95" s="328"/>
      <c r="M95" s="47"/>
      <c r="N95" s="263"/>
      <c r="O95" s="17"/>
      <c r="P95" s="18"/>
    </row>
    <row r="96" spans="1:16" x14ac:dyDescent="0.25">
      <c r="A96" s="18"/>
      <c r="B96" s="17"/>
      <c r="C96" s="17"/>
      <c r="D96" s="18"/>
      <c r="E96" s="18"/>
      <c r="F96" s="17"/>
      <c r="G96" s="18"/>
      <c r="H96" s="18"/>
      <c r="I96" s="18"/>
      <c r="J96" s="15"/>
      <c r="K96" s="37"/>
      <c r="L96" s="328"/>
      <c r="M96" s="47"/>
      <c r="N96" s="263"/>
      <c r="O96" s="17"/>
      <c r="P96" s="18"/>
    </row>
    <row r="97" spans="1:16" x14ac:dyDescent="0.25">
      <c r="A97" s="18"/>
      <c r="B97" s="17"/>
      <c r="C97" s="17"/>
      <c r="D97" s="18"/>
      <c r="E97" s="18"/>
      <c r="F97" s="17"/>
      <c r="G97" s="18"/>
      <c r="H97" s="18"/>
      <c r="I97" s="18"/>
      <c r="J97" s="15"/>
      <c r="K97" s="37"/>
      <c r="L97" s="328"/>
      <c r="M97" s="47"/>
      <c r="N97" s="263"/>
      <c r="O97" s="17"/>
      <c r="P97" s="18"/>
    </row>
    <row r="98" spans="1:16" x14ac:dyDescent="0.25">
      <c r="A98" s="18"/>
      <c r="B98" s="17"/>
      <c r="C98" s="17"/>
      <c r="D98" s="18"/>
      <c r="E98" s="18"/>
      <c r="F98" s="17"/>
      <c r="G98" s="18"/>
      <c r="H98" s="18"/>
      <c r="I98" s="18"/>
      <c r="J98" s="15"/>
      <c r="K98" s="37"/>
      <c r="L98" s="328"/>
      <c r="M98" s="47"/>
      <c r="N98" s="263"/>
      <c r="O98" s="17"/>
      <c r="P98" s="18"/>
    </row>
    <row r="99" spans="1:16" x14ac:dyDescent="0.25">
      <c r="A99" s="18"/>
      <c r="B99" s="17"/>
      <c r="C99" s="17"/>
      <c r="D99" s="18"/>
      <c r="E99" s="18"/>
      <c r="F99" s="17"/>
      <c r="G99" s="18"/>
      <c r="H99" s="18"/>
      <c r="I99" s="18"/>
      <c r="J99" s="15"/>
      <c r="K99" s="37"/>
      <c r="L99" s="328"/>
      <c r="M99" s="47"/>
      <c r="N99" s="263"/>
      <c r="O99" s="17"/>
      <c r="P99" s="18"/>
    </row>
    <row r="100" spans="1:16" x14ac:dyDescent="0.25">
      <c r="A100" s="18"/>
      <c r="B100" s="17"/>
      <c r="C100" s="17"/>
      <c r="D100" s="18"/>
      <c r="E100" s="18"/>
      <c r="F100" s="17"/>
      <c r="G100" s="18"/>
      <c r="H100" s="18"/>
      <c r="I100" s="18"/>
      <c r="J100" s="15"/>
      <c r="K100" s="37"/>
      <c r="L100" s="328"/>
      <c r="M100" s="47"/>
      <c r="N100" s="263"/>
      <c r="O100" s="17"/>
      <c r="P100" s="18"/>
    </row>
    <row r="101" spans="1:16" x14ac:dyDescent="0.25">
      <c r="A101" s="18"/>
      <c r="B101" s="17"/>
      <c r="C101" s="17"/>
      <c r="D101" s="18"/>
      <c r="E101" s="18"/>
      <c r="F101" s="17"/>
      <c r="G101" s="18"/>
      <c r="H101" s="18"/>
      <c r="I101" s="18"/>
      <c r="J101" s="15"/>
      <c r="K101" s="37"/>
      <c r="L101" s="328"/>
      <c r="M101" s="47"/>
      <c r="N101" s="263"/>
      <c r="O101" s="17"/>
      <c r="P101" s="18"/>
    </row>
    <row r="102" spans="1:16" x14ac:dyDescent="0.25">
      <c r="A102" s="18"/>
      <c r="B102" s="17"/>
      <c r="C102" s="17"/>
      <c r="D102" s="18"/>
      <c r="E102" s="18"/>
      <c r="F102" s="17"/>
      <c r="G102" s="18"/>
      <c r="H102" s="18"/>
      <c r="I102" s="18"/>
      <c r="J102" s="15"/>
      <c r="K102" s="37"/>
      <c r="L102" s="328"/>
      <c r="M102" s="47"/>
      <c r="N102" s="263"/>
      <c r="O102" s="17"/>
      <c r="P102" s="18"/>
    </row>
    <row r="103" spans="1:16" x14ac:dyDescent="0.25">
      <c r="A103" s="18"/>
      <c r="B103" s="17"/>
      <c r="C103" s="17"/>
      <c r="D103" s="18"/>
      <c r="E103" s="18"/>
      <c r="F103" s="17"/>
      <c r="G103" s="18"/>
      <c r="H103" s="18"/>
      <c r="I103" s="18"/>
      <c r="J103" s="15"/>
      <c r="K103" s="37"/>
      <c r="L103" s="328"/>
      <c r="M103" s="47"/>
      <c r="N103" s="263"/>
      <c r="O103" s="17"/>
      <c r="P103" s="18"/>
    </row>
    <row r="104" spans="1:16" s="43" customFormat="1" x14ac:dyDescent="0.25">
      <c r="A104" s="18"/>
      <c r="B104" s="17"/>
      <c r="C104" s="17"/>
      <c r="D104" s="18"/>
      <c r="E104" s="18"/>
      <c r="F104" s="17"/>
      <c r="G104" s="18"/>
      <c r="H104" s="18"/>
      <c r="I104" s="18"/>
      <c r="J104" s="15"/>
      <c r="K104" s="37"/>
      <c r="L104" s="328"/>
      <c r="M104" s="47"/>
      <c r="N104" s="263"/>
      <c r="O104" s="17"/>
      <c r="P104" s="18"/>
    </row>
    <row r="105" spans="1:16" s="43" customFormat="1" x14ac:dyDescent="0.25">
      <c r="A105" s="18"/>
      <c r="B105" s="17"/>
      <c r="C105" s="17"/>
      <c r="D105" s="18"/>
      <c r="E105" s="18"/>
      <c r="F105" s="17"/>
      <c r="G105" s="18"/>
      <c r="H105" s="18"/>
      <c r="I105" s="18"/>
      <c r="J105" s="15"/>
      <c r="K105" s="37"/>
      <c r="L105" s="328"/>
      <c r="M105" s="47"/>
      <c r="N105" s="263"/>
      <c r="O105" s="17"/>
      <c r="P105" s="18"/>
    </row>
    <row r="106" spans="1:16" s="43" customFormat="1" ht="15.75" customHeight="1" x14ac:dyDescent="0.25">
      <c r="A106" s="18"/>
      <c r="B106" s="17"/>
      <c r="C106" s="17"/>
      <c r="D106" s="18"/>
      <c r="E106" s="18"/>
      <c r="F106" s="17"/>
      <c r="G106" s="18"/>
      <c r="H106" s="18"/>
      <c r="I106" s="18"/>
      <c r="J106" s="15"/>
      <c r="K106" s="37"/>
      <c r="L106" s="328"/>
      <c r="M106" s="47"/>
      <c r="N106" s="263"/>
      <c r="O106" s="17"/>
      <c r="P106" s="18"/>
    </row>
    <row r="107" spans="1:16" s="43" customFormat="1" x14ac:dyDescent="0.25">
      <c r="A107" s="18"/>
      <c r="B107" s="17"/>
      <c r="C107" s="17"/>
      <c r="D107" s="18"/>
      <c r="E107" s="18"/>
      <c r="F107" s="17"/>
      <c r="G107" s="18"/>
      <c r="H107" s="18"/>
      <c r="I107" s="18"/>
      <c r="J107" s="15"/>
      <c r="K107" s="37"/>
      <c r="L107" s="328"/>
      <c r="M107" s="47"/>
      <c r="N107" s="263"/>
      <c r="O107" s="17"/>
      <c r="P107" s="18"/>
    </row>
    <row r="108" spans="1:16" s="43" customFormat="1" x14ac:dyDescent="0.25">
      <c r="A108" s="18"/>
      <c r="B108" s="17"/>
      <c r="C108" s="17"/>
      <c r="D108" s="18"/>
      <c r="E108" s="18"/>
      <c r="F108" s="17"/>
      <c r="G108" s="18"/>
      <c r="H108" s="18"/>
      <c r="I108" s="18"/>
      <c r="J108" s="15"/>
      <c r="K108" s="37"/>
      <c r="L108" s="328"/>
      <c r="M108" s="47"/>
      <c r="N108" s="263"/>
      <c r="O108" s="17"/>
      <c r="P108" s="18"/>
    </row>
    <row r="109" spans="1:16" s="43" customFormat="1" x14ac:dyDescent="0.25">
      <c r="A109" s="18"/>
      <c r="B109" s="17"/>
      <c r="C109" s="17"/>
      <c r="D109" s="18"/>
      <c r="E109" s="18"/>
      <c r="F109" s="17"/>
      <c r="G109" s="18"/>
      <c r="H109" s="18"/>
      <c r="I109" s="18"/>
      <c r="J109" s="15"/>
      <c r="K109" s="37"/>
      <c r="L109" s="328"/>
      <c r="M109" s="47"/>
      <c r="N109" s="263"/>
      <c r="O109" s="17"/>
      <c r="P109" s="18"/>
    </row>
    <row r="110" spans="1:16" x14ac:dyDescent="0.25">
      <c r="A110" s="18"/>
      <c r="B110" s="17"/>
      <c r="C110" s="17"/>
      <c r="D110" s="18"/>
      <c r="E110" s="18"/>
      <c r="F110" s="17"/>
      <c r="G110" s="18"/>
      <c r="H110" s="18"/>
      <c r="I110" s="18"/>
      <c r="J110" s="15"/>
      <c r="K110" s="37"/>
      <c r="L110" s="328"/>
      <c r="M110" s="47"/>
      <c r="N110" s="263"/>
      <c r="O110" s="17"/>
      <c r="P110" s="18"/>
    </row>
    <row r="111" spans="1:16" s="43" customFormat="1" x14ac:dyDescent="0.25">
      <c r="A111" s="18"/>
      <c r="B111" s="17"/>
      <c r="C111" s="17"/>
      <c r="D111" s="18"/>
      <c r="E111" s="18"/>
      <c r="F111" s="17"/>
      <c r="G111" s="18"/>
      <c r="H111" s="18"/>
      <c r="I111" s="18"/>
      <c r="J111" s="15"/>
      <c r="K111" s="37"/>
      <c r="L111" s="328"/>
      <c r="M111" s="47"/>
      <c r="N111" s="263"/>
      <c r="O111" s="17"/>
      <c r="P111" s="18"/>
    </row>
    <row r="112" spans="1:16" s="43" customFormat="1" x14ac:dyDescent="0.25">
      <c r="A112" s="18"/>
      <c r="B112" s="17"/>
      <c r="C112" s="17"/>
      <c r="D112" s="18"/>
      <c r="E112" s="18"/>
      <c r="F112" s="17"/>
      <c r="G112" s="18"/>
      <c r="H112" s="18"/>
      <c r="I112" s="18"/>
      <c r="J112" s="15"/>
      <c r="K112" s="37"/>
      <c r="L112" s="328"/>
      <c r="M112" s="47"/>
      <c r="N112" s="263"/>
      <c r="O112" s="17"/>
      <c r="P112" s="18"/>
    </row>
    <row r="113" spans="1:16" x14ac:dyDescent="0.25">
      <c r="A113" s="18"/>
      <c r="B113" s="17"/>
      <c r="C113" s="17"/>
      <c r="D113" s="18"/>
      <c r="E113" s="18"/>
      <c r="F113" s="17"/>
      <c r="G113" s="18"/>
      <c r="H113" s="18"/>
      <c r="I113" s="18"/>
      <c r="J113" s="15"/>
      <c r="K113" s="37"/>
      <c r="L113" s="328"/>
      <c r="M113" s="47"/>
      <c r="N113" s="263"/>
      <c r="O113" s="17"/>
      <c r="P113" s="18"/>
    </row>
    <row r="114" spans="1:16" s="43" customFormat="1" x14ac:dyDescent="0.25">
      <c r="A114" s="18"/>
      <c r="B114" s="17"/>
      <c r="C114" s="17"/>
      <c r="D114" s="18"/>
      <c r="E114" s="18"/>
      <c r="F114" s="17"/>
      <c r="G114" s="18"/>
      <c r="H114" s="18"/>
      <c r="I114" s="18"/>
      <c r="J114" s="15"/>
      <c r="K114" s="37"/>
      <c r="L114" s="328"/>
      <c r="M114" s="47"/>
      <c r="N114" s="263"/>
      <c r="O114" s="17"/>
      <c r="P114" s="18"/>
    </row>
    <row r="115" spans="1:16" x14ac:dyDescent="0.25">
      <c r="A115" s="18"/>
      <c r="B115" s="17"/>
      <c r="C115" s="17"/>
      <c r="D115" s="18"/>
      <c r="E115" s="18"/>
      <c r="F115" s="17"/>
      <c r="G115" s="18"/>
      <c r="H115" s="18"/>
      <c r="I115" s="18"/>
      <c r="J115" s="15"/>
      <c r="K115" s="37"/>
      <c r="L115" s="328"/>
      <c r="M115" s="47"/>
      <c r="N115" s="263"/>
      <c r="O115" s="17"/>
      <c r="P115" s="18"/>
    </row>
    <row r="116" spans="1:16" x14ac:dyDescent="0.25">
      <c r="A116" s="18"/>
      <c r="B116" s="17"/>
      <c r="C116" s="17"/>
      <c r="D116" s="18"/>
      <c r="E116" s="18"/>
      <c r="F116" s="17"/>
      <c r="G116" s="18"/>
      <c r="H116" s="18"/>
      <c r="I116" s="18"/>
      <c r="J116" s="15"/>
      <c r="K116" s="37"/>
      <c r="L116" s="328"/>
      <c r="M116" s="47"/>
      <c r="N116" s="263"/>
      <c r="O116" s="17"/>
      <c r="P116" s="18"/>
    </row>
    <row r="117" spans="1:16" s="43" customFormat="1" x14ac:dyDescent="0.25">
      <c r="A117" s="18"/>
      <c r="B117" s="17"/>
      <c r="C117" s="17"/>
      <c r="D117" s="18"/>
      <c r="E117" s="18"/>
      <c r="F117" s="17"/>
      <c r="G117" s="18"/>
      <c r="H117" s="18"/>
      <c r="I117" s="18"/>
      <c r="J117" s="15"/>
      <c r="K117" s="37"/>
      <c r="L117" s="328"/>
      <c r="M117" s="47"/>
      <c r="N117" s="263"/>
      <c r="O117" s="17"/>
      <c r="P117" s="18"/>
    </row>
    <row r="118" spans="1:16" x14ac:dyDescent="0.25">
      <c r="A118" s="18"/>
      <c r="B118" s="17"/>
      <c r="C118" s="17"/>
      <c r="D118" s="18"/>
      <c r="E118" s="18"/>
      <c r="F118" s="17"/>
      <c r="G118" s="18"/>
      <c r="H118" s="18"/>
      <c r="I118" s="18"/>
      <c r="J118" s="15"/>
      <c r="K118" s="37"/>
      <c r="L118" s="328"/>
      <c r="M118" s="47"/>
      <c r="N118" s="263"/>
      <c r="O118" s="17"/>
      <c r="P118" s="18"/>
    </row>
    <row r="119" spans="1:16" x14ac:dyDescent="0.25">
      <c r="A119" s="18"/>
      <c r="B119" s="17"/>
      <c r="C119" s="17"/>
      <c r="D119" s="18"/>
      <c r="E119" s="18"/>
      <c r="F119" s="17"/>
      <c r="G119" s="18"/>
      <c r="H119" s="18"/>
      <c r="I119" s="18"/>
      <c r="J119" s="15"/>
      <c r="K119" s="37"/>
      <c r="L119" s="328"/>
      <c r="M119" s="47"/>
      <c r="N119" s="263"/>
      <c r="O119" s="17"/>
      <c r="P119" s="18"/>
    </row>
    <row r="120" spans="1:16" x14ac:dyDescent="0.25">
      <c r="A120" s="18"/>
      <c r="B120" s="17"/>
      <c r="C120" s="17"/>
      <c r="D120" s="18"/>
      <c r="E120" s="18"/>
      <c r="F120" s="17"/>
      <c r="G120" s="18"/>
      <c r="H120" s="18"/>
      <c r="I120" s="18"/>
      <c r="J120" s="15"/>
      <c r="K120" s="37"/>
      <c r="L120" s="328"/>
      <c r="M120" s="47"/>
      <c r="N120" s="263"/>
      <c r="O120" s="17"/>
      <c r="P120" s="18"/>
    </row>
    <row r="121" spans="1:16" x14ac:dyDescent="0.25">
      <c r="A121" s="18"/>
      <c r="B121" s="17"/>
      <c r="C121" s="17"/>
      <c r="D121" s="18"/>
      <c r="E121" s="18"/>
      <c r="F121" s="17"/>
      <c r="G121" s="18"/>
      <c r="H121" s="18"/>
      <c r="I121" s="18"/>
      <c r="J121" s="15"/>
      <c r="K121" s="37"/>
      <c r="L121" s="328"/>
      <c r="M121" s="47"/>
      <c r="N121" s="263"/>
      <c r="O121" s="17"/>
      <c r="P121" s="18"/>
    </row>
    <row r="122" spans="1:16" x14ac:dyDescent="0.25">
      <c r="A122" s="18"/>
      <c r="B122" s="17"/>
      <c r="C122" s="17"/>
      <c r="D122" s="18"/>
      <c r="E122" s="18"/>
      <c r="F122" s="17"/>
      <c r="G122" s="18"/>
      <c r="H122" s="18"/>
      <c r="I122" s="18"/>
      <c r="J122" s="15"/>
      <c r="K122" s="37"/>
      <c r="L122" s="328"/>
      <c r="M122" s="47"/>
      <c r="N122" s="263"/>
      <c r="O122" s="17"/>
      <c r="P122" s="18"/>
    </row>
    <row r="123" spans="1:16" x14ac:dyDescent="0.25">
      <c r="A123" s="18"/>
      <c r="B123" s="17"/>
      <c r="C123" s="17"/>
      <c r="D123" s="18"/>
      <c r="E123" s="18"/>
      <c r="F123" s="17"/>
      <c r="G123" s="18"/>
      <c r="H123" s="18"/>
      <c r="I123" s="18"/>
      <c r="J123" s="15"/>
      <c r="K123" s="37"/>
      <c r="L123" s="328"/>
      <c r="M123" s="47"/>
      <c r="N123" s="263"/>
      <c r="O123" s="17"/>
      <c r="P123" s="18"/>
    </row>
    <row r="124" spans="1:16" x14ac:dyDescent="0.25">
      <c r="A124" s="18"/>
      <c r="B124" s="17"/>
      <c r="C124" s="17"/>
      <c r="D124" s="18"/>
      <c r="E124" s="18"/>
      <c r="F124" s="17"/>
      <c r="G124" s="18"/>
      <c r="H124" s="18"/>
      <c r="I124" s="18"/>
      <c r="J124" s="15"/>
      <c r="K124" s="37"/>
      <c r="L124" s="328"/>
      <c r="M124" s="47"/>
      <c r="N124" s="263"/>
      <c r="O124" s="17"/>
      <c r="P124" s="18"/>
    </row>
    <row r="125" spans="1:16" x14ac:dyDescent="0.25">
      <c r="A125" s="18"/>
      <c r="B125" s="17"/>
      <c r="C125" s="17"/>
      <c r="D125" s="18"/>
      <c r="E125" s="18"/>
      <c r="F125" s="17"/>
      <c r="G125" s="18"/>
      <c r="H125" s="18"/>
      <c r="I125" s="18"/>
      <c r="J125" s="15"/>
      <c r="K125" s="37"/>
      <c r="L125" s="328"/>
      <c r="M125" s="47"/>
      <c r="N125" s="263"/>
      <c r="O125" s="17"/>
      <c r="P125" s="18"/>
    </row>
    <row r="126" spans="1:16" x14ac:dyDescent="0.25">
      <c r="A126" s="18"/>
      <c r="B126" s="17"/>
      <c r="C126" s="17"/>
      <c r="D126" s="18"/>
      <c r="E126" s="18"/>
      <c r="F126" s="17"/>
      <c r="G126" s="18"/>
      <c r="H126" s="18"/>
      <c r="I126" s="18"/>
      <c r="J126" s="15"/>
      <c r="K126" s="37"/>
      <c r="L126" s="328"/>
      <c r="M126" s="47"/>
      <c r="N126" s="263"/>
      <c r="O126" s="17"/>
      <c r="P126" s="18"/>
    </row>
    <row r="127" spans="1:16" x14ac:dyDescent="0.25">
      <c r="A127" s="18"/>
      <c r="B127" s="17"/>
      <c r="C127" s="17"/>
      <c r="D127" s="18"/>
      <c r="E127" s="18"/>
      <c r="F127" s="17"/>
      <c r="G127" s="18"/>
      <c r="H127" s="18"/>
      <c r="I127" s="18"/>
      <c r="J127" s="15"/>
      <c r="K127" s="37"/>
      <c r="L127" s="328"/>
      <c r="M127" s="47"/>
      <c r="N127" s="263"/>
      <c r="O127" s="17"/>
      <c r="P127" s="18"/>
    </row>
    <row r="128" spans="1:16" x14ac:dyDescent="0.25">
      <c r="A128" s="18"/>
      <c r="B128" s="17"/>
      <c r="C128" s="17"/>
      <c r="D128" s="18"/>
      <c r="E128" s="18"/>
      <c r="F128" s="17"/>
      <c r="G128" s="18"/>
      <c r="H128" s="18"/>
      <c r="I128" s="18"/>
      <c r="J128" s="15"/>
      <c r="K128" s="37"/>
      <c r="L128" s="328"/>
      <c r="M128" s="47"/>
      <c r="N128" s="263"/>
      <c r="O128" s="17"/>
      <c r="P128" s="18"/>
    </row>
    <row r="129" spans="1:16" x14ac:dyDescent="0.25">
      <c r="A129" s="18"/>
      <c r="B129" s="17"/>
      <c r="C129" s="17"/>
      <c r="D129" s="18"/>
      <c r="E129" s="18"/>
      <c r="F129" s="17"/>
      <c r="G129" s="18"/>
      <c r="H129" s="18"/>
      <c r="I129" s="18"/>
      <c r="J129" s="15"/>
      <c r="K129" s="37"/>
      <c r="L129" s="328"/>
      <c r="M129" s="47"/>
      <c r="N129" s="263"/>
      <c r="O129" s="17"/>
      <c r="P129" s="18"/>
    </row>
    <row r="130" spans="1:16" x14ac:dyDescent="0.25">
      <c r="A130" s="18"/>
      <c r="B130" s="17"/>
      <c r="C130" s="17"/>
      <c r="D130" s="18"/>
      <c r="E130" s="18"/>
      <c r="F130" s="17"/>
      <c r="G130" s="18"/>
      <c r="H130" s="18"/>
      <c r="I130" s="18"/>
      <c r="J130" s="15"/>
      <c r="K130" s="37"/>
      <c r="L130" s="328"/>
      <c r="M130" s="47"/>
      <c r="N130" s="263"/>
      <c r="O130" s="17"/>
      <c r="P130" s="18"/>
    </row>
    <row r="131" spans="1:16" x14ac:dyDescent="0.25">
      <c r="A131" s="18"/>
      <c r="B131" s="17"/>
      <c r="C131" s="17"/>
      <c r="D131" s="18"/>
      <c r="E131" s="18"/>
      <c r="F131" s="17"/>
      <c r="G131" s="18"/>
      <c r="H131" s="18"/>
      <c r="I131" s="18"/>
      <c r="J131" s="15"/>
      <c r="K131" s="37"/>
      <c r="L131" s="328"/>
      <c r="M131" s="47"/>
      <c r="N131" s="263"/>
      <c r="O131" s="17"/>
      <c r="P131" s="18"/>
    </row>
    <row r="132" spans="1:16" x14ac:dyDescent="0.25">
      <c r="A132" s="18"/>
      <c r="B132" s="17"/>
      <c r="C132" s="17"/>
      <c r="D132" s="18"/>
      <c r="E132" s="18"/>
      <c r="F132" s="17"/>
      <c r="G132" s="18"/>
      <c r="H132" s="18"/>
      <c r="I132" s="18"/>
      <c r="J132" s="15"/>
      <c r="K132" s="37"/>
      <c r="L132" s="328"/>
      <c r="M132" s="47"/>
      <c r="N132" s="263"/>
      <c r="O132" s="17"/>
      <c r="P132" s="18"/>
    </row>
    <row r="133" spans="1:16" x14ac:dyDescent="0.25">
      <c r="A133" s="18"/>
      <c r="B133" s="17"/>
      <c r="C133" s="17"/>
      <c r="D133" s="18"/>
      <c r="E133" s="18"/>
      <c r="F133" s="17"/>
      <c r="G133" s="18"/>
      <c r="H133" s="18"/>
      <c r="I133" s="18"/>
      <c r="J133" s="15"/>
      <c r="K133" s="37"/>
      <c r="L133" s="328"/>
      <c r="M133" s="47"/>
      <c r="N133" s="263"/>
      <c r="O133" s="17"/>
      <c r="P133" s="18"/>
    </row>
    <row r="134" spans="1:16" x14ac:dyDescent="0.25">
      <c r="A134" s="18"/>
      <c r="B134" s="17"/>
      <c r="C134" s="17"/>
      <c r="D134" s="18"/>
      <c r="E134" s="18"/>
      <c r="F134" s="17"/>
      <c r="G134" s="18"/>
      <c r="H134" s="18"/>
      <c r="I134" s="18"/>
      <c r="J134" s="15"/>
      <c r="K134" s="37"/>
      <c r="L134" s="328"/>
      <c r="M134" s="47"/>
      <c r="N134" s="263"/>
      <c r="O134" s="17"/>
      <c r="P134" s="18"/>
    </row>
    <row r="135" spans="1:16" x14ac:dyDescent="0.25">
      <c r="A135" s="18"/>
      <c r="B135" s="17"/>
      <c r="C135" s="17"/>
      <c r="D135" s="18"/>
      <c r="E135" s="18"/>
      <c r="F135" s="17"/>
      <c r="G135" s="18"/>
      <c r="H135" s="18"/>
      <c r="I135" s="18"/>
      <c r="J135" s="15"/>
      <c r="K135" s="37"/>
      <c r="L135" s="328"/>
      <c r="M135" s="47"/>
      <c r="N135" s="263"/>
      <c r="O135" s="17"/>
      <c r="P135" s="18"/>
    </row>
    <row r="136" spans="1:16" x14ac:dyDescent="0.25">
      <c r="A136" s="18"/>
      <c r="B136" s="17"/>
      <c r="C136" s="17"/>
      <c r="D136" s="18"/>
      <c r="E136" s="18"/>
      <c r="F136" s="17"/>
      <c r="G136" s="18"/>
      <c r="H136" s="18"/>
      <c r="I136" s="18"/>
      <c r="J136" s="15"/>
      <c r="K136" s="37"/>
      <c r="L136" s="328"/>
      <c r="M136" s="47"/>
      <c r="N136" s="263"/>
      <c r="O136" s="17"/>
      <c r="P136" s="18"/>
    </row>
    <row r="137" spans="1:16" x14ac:dyDescent="0.25">
      <c r="A137" s="18"/>
      <c r="B137" s="17"/>
      <c r="C137" s="17"/>
      <c r="D137" s="18"/>
      <c r="E137" s="18"/>
      <c r="F137" s="17"/>
      <c r="G137" s="18"/>
      <c r="H137" s="18"/>
      <c r="I137" s="18"/>
      <c r="J137" s="15"/>
      <c r="K137" s="37"/>
      <c r="L137" s="328"/>
      <c r="M137" s="47"/>
      <c r="N137" s="263"/>
      <c r="O137" s="17"/>
      <c r="P137" s="18"/>
    </row>
    <row r="138" spans="1:16" x14ac:dyDescent="0.25">
      <c r="A138" s="18"/>
      <c r="B138" s="17"/>
      <c r="C138" s="17"/>
      <c r="D138" s="18"/>
      <c r="E138" s="18"/>
      <c r="F138" s="17"/>
      <c r="G138" s="18"/>
      <c r="H138" s="18"/>
      <c r="I138" s="18"/>
      <c r="J138" s="15"/>
      <c r="K138" s="37"/>
      <c r="L138" s="328"/>
      <c r="M138" s="47"/>
      <c r="N138" s="263"/>
      <c r="O138" s="17"/>
      <c r="P138" s="18"/>
    </row>
    <row r="139" spans="1:16" x14ac:dyDescent="0.25">
      <c r="A139" s="18"/>
      <c r="B139" s="17"/>
      <c r="C139" s="17"/>
      <c r="D139" s="18"/>
      <c r="E139" s="18"/>
      <c r="F139" s="17"/>
      <c r="G139" s="18"/>
      <c r="H139" s="18"/>
      <c r="I139" s="18"/>
      <c r="J139" s="15"/>
      <c r="K139" s="37"/>
      <c r="L139" s="328"/>
      <c r="M139" s="47"/>
      <c r="N139" s="263"/>
      <c r="O139" s="17"/>
      <c r="P139" s="18"/>
    </row>
    <row r="140" spans="1:16" x14ac:dyDescent="0.25">
      <c r="A140" s="18"/>
      <c r="B140" s="17"/>
      <c r="C140" s="17"/>
      <c r="D140" s="18"/>
      <c r="E140" s="18"/>
      <c r="F140" s="17"/>
      <c r="G140" s="18"/>
      <c r="H140" s="18"/>
      <c r="I140" s="18"/>
      <c r="J140" s="15"/>
      <c r="K140" s="37"/>
      <c r="L140" s="328"/>
      <c r="M140" s="47"/>
      <c r="N140" s="263"/>
      <c r="O140" s="17"/>
      <c r="P140" s="18"/>
    </row>
    <row r="141" spans="1:16" x14ac:dyDescent="0.25">
      <c r="A141" s="18"/>
      <c r="B141" s="17"/>
      <c r="C141" s="17"/>
      <c r="D141" s="18"/>
      <c r="E141" s="18"/>
      <c r="F141" s="17"/>
      <c r="G141" s="18"/>
      <c r="H141" s="18"/>
      <c r="I141" s="18"/>
      <c r="J141" s="15"/>
      <c r="K141" s="37"/>
      <c r="L141" s="328"/>
      <c r="M141" s="47"/>
      <c r="N141" s="263"/>
      <c r="O141" s="17"/>
      <c r="P141" s="18"/>
    </row>
    <row r="142" spans="1:16" x14ac:dyDescent="0.25">
      <c r="A142" s="18"/>
      <c r="B142" s="17"/>
      <c r="C142" s="17"/>
      <c r="D142" s="18"/>
      <c r="E142" s="18"/>
      <c r="F142" s="17"/>
      <c r="G142" s="18"/>
      <c r="H142" s="18"/>
      <c r="I142" s="18"/>
      <c r="J142" s="15"/>
      <c r="K142" s="37"/>
      <c r="L142" s="328"/>
      <c r="M142" s="47"/>
      <c r="N142" s="263"/>
      <c r="O142" s="17"/>
      <c r="P142" s="18"/>
    </row>
    <row r="143" spans="1:16" x14ac:dyDescent="0.25">
      <c r="A143" s="18"/>
      <c r="B143" s="17"/>
      <c r="C143" s="17"/>
      <c r="D143" s="18"/>
      <c r="E143" s="18"/>
      <c r="F143" s="17"/>
      <c r="G143" s="18"/>
      <c r="H143" s="18"/>
      <c r="I143" s="18"/>
      <c r="J143" s="15"/>
      <c r="K143" s="37"/>
      <c r="L143" s="328"/>
      <c r="M143" s="47"/>
      <c r="N143" s="263"/>
      <c r="O143" s="17"/>
      <c r="P143" s="18"/>
    </row>
    <row r="144" spans="1:16" x14ac:dyDescent="0.25">
      <c r="A144" s="18"/>
      <c r="B144" s="17"/>
      <c r="C144" s="17"/>
      <c r="D144" s="18"/>
      <c r="E144" s="18"/>
      <c r="F144" s="17"/>
      <c r="G144" s="18"/>
      <c r="H144" s="18"/>
      <c r="I144" s="18"/>
      <c r="J144" s="15"/>
      <c r="K144" s="37"/>
      <c r="L144" s="328"/>
      <c r="M144" s="47"/>
      <c r="N144" s="263"/>
      <c r="O144" s="17"/>
      <c r="P144" s="18"/>
    </row>
    <row r="145" spans="1:16" x14ac:dyDescent="0.25">
      <c r="A145" s="18"/>
      <c r="B145" s="17"/>
      <c r="C145" s="17"/>
      <c r="D145" s="18"/>
      <c r="E145" s="18"/>
      <c r="F145" s="17"/>
      <c r="G145" s="18"/>
      <c r="H145" s="18"/>
      <c r="I145" s="18"/>
      <c r="J145" s="15"/>
      <c r="K145" s="37"/>
      <c r="L145" s="328"/>
      <c r="M145" s="47"/>
      <c r="N145" s="263"/>
      <c r="O145" s="17"/>
      <c r="P145" s="18"/>
    </row>
    <row r="146" spans="1:16" x14ac:dyDescent="0.25">
      <c r="A146" s="18"/>
      <c r="B146" s="17"/>
      <c r="C146" s="17"/>
      <c r="D146" s="18"/>
      <c r="E146" s="18"/>
      <c r="F146" s="17"/>
      <c r="G146" s="18"/>
      <c r="H146" s="18"/>
      <c r="I146" s="18"/>
      <c r="J146" s="15"/>
      <c r="K146" s="37"/>
      <c r="L146" s="328"/>
      <c r="M146" s="47"/>
      <c r="N146" s="263"/>
      <c r="O146" s="17"/>
      <c r="P146" s="18"/>
    </row>
    <row r="147" spans="1:16" x14ac:dyDescent="0.25">
      <c r="A147" s="18"/>
      <c r="B147" s="17"/>
      <c r="C147" s="17"/>
      <c r="D147" s="18"/>
      <c r="E147" s="18"/>
      <c r="F147" s="17"/>
      <c r="G147" s="18"/>
      <c r="H147" s="18"/>
      <c r="I147" s="18"/>
      <c r="J147" s="15"/>
      <c r="K147" s="37"/>
      <c r="L147" s="328"/>
      <c r="M147" s="47"/>
      <c r="N147" s="263"/>
      <c r="O147" s="17"/>
      <c r="P147" s="18"/>
    </row>
    <row r="148" spans="1:16" x14ac:dyDescent="0.25">
      <c r="A148" s="18"/>
      <c r="B148" s="17"/>
      <c r="C148" s="17"/>
      <c r="D148" s="18"/>
      <c r="E148" s="18"/>
      <c r="F148" s="17"/>
      <c r="G148" s="18"/>
      <c r="H148" s="18"/>
      <c r="I148" s="18"/>
      <c r="J148" s="15"/>
      <c r="K148" s="37"/>
      <c r="L148" s="328"/>
      <c r="M148" s="47"/>
      <c r="N148" s="263"/>
      <c r="O148" s="17"/>
      <c r="P148" s="18"/>
    </row>
    <row r="149" spans="1:16" x14ac:dyDescent="0.25">
      <c r="A149" s="18"/>
      <c r="B149" s="17"/>
      <c r="C149" s="17"/>
      <c r="D149" s="18"/>
      <c r="E149" s="18"/>
      <c r="F149" s="17"/>
      <c r="G149" s="18"/>
      <c r="H149" s="18"/>
      <c r="I149" s="18"/>
      <c r="J149" s="15"/>
      <c r="K149" s="37"/>
      <c r="L149" s="328"/>
      <c r="M149" s="47"/>
      <c r="N149" s="263"/>
      <c r="O149" s="17"/>
      <c r="P149" s="18"/>
    </row>
    <row r="150" spans="1:16" x14ac:dyDescent="0.25">
      <c r="A150" s="18"/>
      <c r="B150" s="17"/>
      <c r="C150" s="17"/>
      <c r="D150" s="18"/>
      <c r="E150" s="18"/>
      <c r="F150" s="17"/>
      <c r="G150" s="18"/>
      <c r="H150" s="18"/>
      <c r="I150" s="18"/>
      <c r="J150" s="15"/>
      <c r="K150" s="37"/>
      <c r="L150" s="328"/>
      <c r="M150" s="47"/>
      <c r="N150" s="263"/>
      <c r="O150" s="17"/>
      <c r="P150" s="18"/>
    </row>
    <row r="151" spans="1:16" x14ac:dyDescent="0.25">
      <c r="A151" s="18"/>
      <c r="B151" s="17"/>
      <c r="C151" s="17"/>
      <c r="D151" s="18"/>
      <c r="E151" s="18"/>
      <c r="F151" s="17"/>
      <c r="G151" s="18"/>
      <c r="H151" s="18"/>
      <c r="I151" s="18"/>
      <c r="J151" s="15"/>
      <c r="K151" s="37"/>
      <c r="L151" s="328"/>
      <c r="M151" s="47"/>
      <c r="N151" s="263"/>
      <c r="O151" s="17"/>
      <c r="P151" s="18"/>
    </row>
    <row r="152" spans="1:16" x14ac:dyDescent="0.25">
      <c r="A152" s="18"/>
      <c r="B152" s="17"/>
      <c r="C152" s="17"/>
      <c r="D152" s="18"/>
      <c r="E152" s="18"/>
      <c r="F152" s="17"/>
      <c r="G152" s="18"/>
      <c r="H152" s="18"/>
      <c r="I152" s="18"/>
      <c r="J152" s="15"/>
      <c r="K152" s="37"/>
      <c r="L152" s="328"/>
      <c r="M152" s="47"/>
      <c r="N152" s="263"/>
      <c r="O152" s="17"/>
      <c r="P152" s="18"/>
    </row>
    <row r="153" spans="1:16" x14ac:dyDescent="0.25">
      <c r="A153" s="18"/>
      <c r="B153" s="17"/>
      <c r="C153" s="17"/>
      <c r="D153" s="18"/>
      <c r="E153" s="18"/>
      <c r="F153" s="17"/>
      <c r="G153" s="18"/>
      <c r="H153" s="18"/>
      <c r="I153" s="18"/>
      <c r="J153" s="15"/>
      <c r="K153" s="37"/>
      <c r="L153" s="328"/>
      <c r="M153" s="47"/>
      <c r="N153" s="263"/>
      <c r="O153" s="17"/>
      <c r="P153" s="18"/>
    </row>
    <row r="154" spans="1:16" x14ac:dyDescent="0.25">
      <c r="A154" s="18"/>
      <c r="B154" s="17"/>
      <c r="C154" s="17"/>
      <c r="D154" s="18"/>
      <c r="E154" s="18"/>
      <c r="F154" s="17"/>
      <c r="G154" s="18"/>
      <c r="H154" s="18"/>
      <c r="I154" s="18"/>
      <c r="J154" s="15"/>
      <c r="K154" s="37"/>
      <c r="L154" s="328"/>
      <c r="M154" s="47"/>
      <c r="N154" s="263"/>
      <c r="O154" s="17"/>
      <c r="P154" s="18"/>
    </row>
    <row r="155" spans="1:16" x14ac:dyDescent="0.25">
      <c r="A155" s="18"/>
      <c r="B155" s="17"/>
      <c r="C155" s="17"/>
      <c r="D155" s="18"/>
      <c r="E155" s="18"/>
      <c r="F155" s="17"/>
      <c r="G155" s="18"/>
      <c r="H155" s="18"/>
      <c r="I155" s="18"/>
      <c r="J155" s="15"/>
      <c r="K155" s="37"/>
      <c r="L155" s="328"/>
      <c r="M155" s="47"/>
      <c r="N155" s="263"/>
      <c r="O155" s="17"/>
      <c r="P155" s="18"/>
    </row>
    <row r="156" spans="1:16" x14ac:dyDescent="0.25">
      <c r="A156" s="18"/>
      <c r="B156" s="17"/>
      <c r="C156" s="17"/>
      <c r="D156" s="18"/>
      <c r="E156" s="18"/>
      <c r="F156" s="17"/>
      <c r="G156" s="18"/>
      <c r="H156" s="18"/>
      <c r="I156" s="18"/>
      <c r="J156" s="15"/>
      <c r="K156" s="37"/>
      <c r="L156" s="328"/>
      <c r="M156" s="47"/>
      <c r="N156" s="263"/>
      <c r="O156" s="17"/>
      <c r="P156" s="18"/>
    </row>
    <row r="157" spans="1:16" ht="15.75" customHeight="1" x14ac:dyDescent="0.25">
      <c r="A157" s="18"/>
      <c r="B157" s="17"/>
      <c r="C157" s="17"/>
      <c r="D157" s="18"/>
      <c r="E157" s="18"/>
      <c r="F157" s="17"/>
      <c r="G157" s="18"/>
      <c r="H157" s="18"/>
      <c r="I157" s="18"/>
      <c r="J157" s="15"/>
      <c r="K157" s="37"/>
      <c r="L157" s="328"/>
      <c r="M157" s="47"/>
      <c r="N157" s="263"/>
      <c r="O157" s="17"/>
      <c r="P157" s="18"/>
    </row>
    <row r="158" spans="1:16" ht="15.75" customHeight="1" x14ac:dyDescent="0.25">
      <c r="A158" s="18"/>
      <c r="B158" s="17"/>
      <c r="C158" s="17"/>
      <c r="D158" s="18"/>
      <c r="E158" s="18"/>
      <c r="F158" s="17"/>
      <c r="G158" s="18"/>
      <c r="H158" s="18"/>
      <c r="I158" s="18"/>
      <c r="J158" s="15"/>
      <c r="K158" s="37"/>
      <c r="L158" s="328"/>
      <c r="M158" s="47"/>
      <c r="N158" s="263"/>
      <c r="O158" s="17"/>
      <c r="P158" s="18"/>
    </row>
    <row r="159" spans="1:16" ht="15.75" customHeight="1" x14ac:dyDescent="0.25">
      <c r="A159" s="18"/>
      <c r="B159" s="17"/>
      <c r="C159" s="17"/>
      <c r="D159" s="18"/>
      <c r="E159" s="18"/>
      <c r="F159" s="17"/>
      <c r="G159" s="18"/>
      <c r="H159" s="18"/>
      <c r="I159" s="18"/>
      <c r="J159" s="15"/>
      <c r="K159" s="37"/>
      <c r="L159" s="328"/>
      <c r="M159" s="47"/>
      <c r="N159" s="263"/>
      <c r="O159" s="17"/>
      <c r="P159" s="18"/>
    </row>
    <row r="160" spans="1:16" ht="15.75" customHeight="1" x14ac:dyDescent="0.25">
      <c r="A160" s="18"/>
      <c r="B160" s="17"/>
      <c r="C160" s="17"/>
      <c r="D160" s="18"/>
      <c r="E160" s="18"/>
      <c r="F160" s="17"/>
      <c r="G160" s="18"/>
      <c r="H160" s="18"/>
      <c r="I160" s="18"/>
      <c r="J160" s="15"/>
      <c r="K160" s="37"/>
      <c r="L160" s="328"/>
      <c r="M160" s="47"/>
      <c r="N160" s="263"/>
      <c r="O160" s="17"/>
      <c r="P160" s="18"/>
    </row>
    <row r="161" spans="1:16" ht="15.75" customHeight="1" x14ac:dyDescent="0.25">
      <c r="A161" s="18"/>
      <c r="B161" s="17"/>
      <c r="C161" s="17"/>
      <c r="D161" s="18"/>
      <c r="E161" s="18"/>
      <c r="F161" s="17"/>
      <c r="G161" s="18"/>
      <c r="H161" s="18"/>
      <c r="I161" s="18"/>
      <c r="J161" s="15"/>
      <c r="K161" s="37"/>
      <c r="L161" s="328"/>
      <c r="M161" s="47"/>
      <c r="N161" s="263"/>
      <c r="O161" s="17"/>
      <c r="P161" s="18"/>
    </row>
    <row r="162" spans="1:16" ht="15.75" customHeight="1" x14ac:dyDescent="0.25">
      <c r="A162" s="18"/>
      <c r="B162" s="17"/>
      <c r="C162" s="17"/>
      <c r="D162" s="18"/>
      <c r="E162" s="18"/>
      <c r="F162" s="17"/>
      <c r="G162" s="18"/>
      <c r="H162" s="18"/>
      <c r="I162" s="18"/>
      <c r="J162" s="15"/>
      <c r="K162" s="37"/>
      <c r="L162" s="328"/>
      <c r="M162" s="47"/>
      <c r="N162" s="263"/>
      <c r="O162" s="17"/>
      <c r="P162" s="18"/>
    </row>
    <row r="163" spans="1:16" ht="15.75" customHeight="1" x14ac:dyDescent="0.25">
      <c r="A163" s="18"/>
      <c r="B163" s="17"/>
      <c r="C163" s="17"/>
      <c r="D163" s="18"/>
      <c r="E163" s="18"/>
      <c r="F163" s="17"/>
      <c r="G163" s="18"/>
      <c r="H163" s="18"/>
      <c r="I163" s="18"/>
      <c r="J163" s="15"/>
      <c r="K163" s="37"/>
      <c r="L163" s="328"/>
      <c r="M163" s="47"/>
      <c r="N163" s="263"/>
      <c r="O163" s="17"/>
      <c r="P163" s="18"/>
    </row>
    <row r="164" spans="1:16" ht="15.75" customHeight="1" x14ac:dyDescent="0.25">
      <c r="A164" s="18"/>
      <c r="B164" s="17"/>
      <c r="C164" s="17"/>
      <c r="D164" s="18"/>
      <c r="E164" s="18"/>
      <c r="F164" s="17"/>
      <c r="G164" s="18"/>
      <c r="H164" s="18"/>
      <c r="I164" s="18"/>
      <c r="J164" s="15"/>
      <c r="K164" s="37"/>
      <c r="L164" s="328"/>
      <c r="M164" s="47"/>
      <c r="N164" s="263"/>
      <c r="O164" s="17"/>
      <c r="P164" s="18"/>
    </row>
    <row r="165" spans="1:16" ht="15.75" customHeight="1" x14ac:dyDescent="0.25">
      <c r="A165" s="18"/>
      <c r="B165" s="17"/>
      <c r="C165" s="17"/>
      <c r="D165" s="18"/>
      <c r="E165" s="18"/>
      <c r="F165" s="17"/>
      <c r="G165" s="18"/>
      <c r="H165" s="18"/>
      <c r="I165" s="18"/>
      <c r="J165" s="15"/>
      <c r="K165" s="37"/>
      <c r="L165" s="328"/>
      <c r="M165" s="47"/>
      <c r="N165" s="263"/>
      <c r="O165" s="17"/>
      <c r="P165" s="18"/>
    </row>
    <row r="166" spans="1:16" ht="15.75" customHeight="1" x14ac:dyDescent="0.25">
      <c r="A166" s="18"/>
      <c r="B166" s="17"/>
      <c r="C166" s="17"/>
      <c r="D166" s="18"/>
      <c r="E166" s="18"/>
      <c r="F166" s="17"/>
      <c r="G166" s="18"/>
      <c r="H166" s="18"/>
      <c r="I166" s="18"/>
      <c r="J166" s="15"/>
      <c r="K166" s="37"/>
      <c r="L166" s="328"/>
      <c r="M166" s="47"/>
      <c r="N166" s="263"/>
      <c r="O166" s="17"/>
      <c r="P166" s="18"/>
    </row>
    <row r="167" spans="1:16" ht="15.75" customHeight="1" x14ac:dyDescent="0.25">
      <c r="A167" s="18"/>
      <c r="B167" s="17"/>
      <c r="C167" s="17"/>
      <c r="D167" s="18"/>
      <c r="E167" s="18"/>
      <c r="F167" s="17"/>
      <c r="G167" s="18"/>
      <c r="H167" s="18"/>
      <c r="I167" s="18"/>
      <c r="J167" s="15"/>
      <c r="K167" s="37"/>
      <c r="L167" s="328"/>
      <c r="M167" s="47"/>
      <c r="N167" s="263"/>
      <c r="O167" s="17"/>
      <c r="P167" s="18"/>
    </row>
    <row r="168" spans="1:16" ht="15.75" customHeight="1" x14ac:dyDescent="0.25">
      <c r="A168" s="18"/>
      <c r="B168" s="17"/>
      <c r="C168" s="17"/>
      <c r="D168" s="18"/>
      <c r="E168" s="18"/>
      <c r="F168" s="17"/>
      <c r="G168" s="18"/>
      <c r="H168" s="18"/>
      <c r="I168" s="18"/>
      <c r="J168" s="15"/>
      <c r="K168" s="37"/>
      <c r="L168" s="328"/>
      <c r="M168" s="47"/>
      <c r="N168" s="263"/>
      <c r="O168" s="17"/>
      <c r="P168" s="18"/>
    </row>
    <row r="169" spans="1:16" ht="15.75" customHeight="1" x14ac:dyDescent="0.25">
      <c r="A169" s="18"/>
      <c r="B169" s="17"/>
      <c r="C169" s="17"/>
      <c r="D169" s="18"/>
      <c r="E169" s="18"/>
      <c r="F169" s="17"/>
      <c r="G169" s="18"/>
      <c r="H169" s="18"/>
      <c r="I169" s="18"/>
      <c r="J169" s="15"/>
      <c r="K169" s="37"/>
      <c r="L169" s="328"/>
      <c r="M169" s="47"/>
      <c r="N169" s="263"/>
      <c r="O169" s="17"/>
      <c r="P169" s="18"/>
    </row>
    <row r="170" spans="1:16" ht="15.75" customHeight="1" x14ac:dyDescent="0.25">
      <c r="A170" s="18"/>
      <c r="B170" s="17"/>
      <c r="C170" s="17"/>
      <c r="D170" s="18"/>
      <c r="E170" s="18"/>
      <c r="F170" s="17"/>
      <c r="G170" s="18"/>
      <c r="H170" s="18"/>
      <c r="I170" s="18"/>
      <c r="J170" s="15"/>
      <c r="K170" s="37"/>
      <c r="L170" s="328"/>
      <c r="M170" s="47"/>
      <c r="N170" s="263"/>
      <c r="O170" s="17"/>
      <c r="P170" s="18"/>
    </row>
    <row r="171" spans="1:16" ht="15.75" customHeight="1" x14ac:dyDescent="0.25">
      <c r="A171" s="18"/>
      <c r="B171" s="17"/>
      <c r="C171" s="17"/>
      <c r="D171" s="18"/>
      <c r="E171" s="18"/>
      <c r="F171" s="17"/>
      <c r="G171" s="18"/>
      <c r="H171" s="18"/>
      <c r="I171" s="18"/>
      <c r="J171" s="15"/>
      <c r="K171" s="37"/>
      <c r="L171" s="328"/>
      <c r="M171" s="47"/>
      <c r="N171" s="263"/>
      <c r="O171" s="17"/>
      <c r="P171" s="18"/>
    </row>
    <row r="172" spans="1:16" ht="15.75" customHeight="1" x14ac:dyDescent="0.25">
      <c r="A172" s="18"/>
      <c r="B172" s="17"/>
      <c r="C172" s="17"/>
      <c r="D172" s="18"/>
      <c r="E172" s="18"/>
      <c r="F172" s="17"/>
      <c r="G172" s="18"/>
      <c r="H172" s="18"/>
      <c r="I172" s="18"/>
      <c r="J172" s="15"/>
      <c r="K172" s="37"/>
      <c r="L172" s="328"/>
      <c r="M172" s="47"/>
      <c r="N172" s="263"/>
      <c r="O172" s="17"/>
      <c r="P172" s="18"/>
    </row>
    <row r="173" spans="1:16" ht="15.75" customHeight="1" x14ac:dyDescent="0.25">
      <c r="A173" s="18"/>
      <c r="B173" s="17"/>
      <c r="C173" s="17"/>
      <c r="D173" s="18"/>
      <c r="E173" s="18"/>
      <c r="F173" s="17"/>
      <c r="G173" s="18"/>
      <c r="H173" s="18"/>
      <c r="I173" s="18"/>
      <c r="J173" s="15"/>
      <c r="K173" s="37"/>
      <c r="L173" s="328"/>
      <c r="M173" s="47"/>
      <c r="N173" s="263"/>
      <c r="O173" s="17"/>
      <c r="P173" s="18"/>
    </row>
    <row r="174" spans="1:16" ht="15.75" customHeight="1" x14ac:dyDescent="0.25">
      <c r="A174" s="18"/>
      <c r="B174" s="17"/>
      <c r="C174" s="17"/>
      <c r="D174" s="18"/>
      <c r="E174" s="18"/>
      <c r="F174" s="17"/>
      <c r="G174" s="18"/>
      <c r="H174" s="18"/>
      <c r="I174" s="18"/>
      <c r="J174" s="15"/>
      <c r="K174" s="37"/>
      <c r="L174" s="328"/>
      <c r="M174" s="47"/>
      <c r="N174" s="263"/>
      <c r="O174" s="17"/>
      <c r="P174" s="18"/>
    </row>
    <row r="175" spans="1:16" ht="15.75" customHeight="1" x14ac:dyDescent="0.25">
      <c r="A175" s="18"/>
      <c r="B175" s="17"/>
      <c r="C175" s="17"/>
      <c r="D175" s="18"/>
      <c r="E175" s="18"/>
      <c r="F175" s="17"/>
      <c r="G175" s="18"/>
      <c r="H175" s="18"/>
      <c r="I175" s="18"/>
      <c r="J175" s="15"/>
      <c r="K175" s="37"/>
      <c r="L175" s="328"/>
      <c r="M175" s="47"/>
      <c r="N175" s="263"/>
      <c r="O175" s="17"/>
      <c r="P175" s="18"/>
    </row>
    <row r="176" spans="1:16" ht="15.75" customHeight="1" x14ac:dyDescent="0.25">
      <c r="A176" s="18"/>
      <c r="B176" s="17"/>
      <c r="C176" s="17"/>
      <c r="D176" s="18"/>
      <c r="E176" s="18"/>
      <c r="F176" s="17"/>
      <c r="G176" s="18"/>
      <c r="H176" s="18"/>
      <c r="I176" s="18"/>
      <c r="J176" s="15"/>
      <c r="K176" s="37"/>
      <c r="L176" s="328"/>
      <c r="M176" s="47"/>
      <c r="N176" s="263"/>
      <c r="O176" s="17"/>
      <c r="P176" s="18"/>
    </row>
    <row r="177" spans="1:16" ht="15.75" customHeight="1" x14ac:dyDescent="0.25">
      <c r="A177" s="18"/>
      <c r="B177" s="17"/>
      <c r="C177" s="17"/>
      <c r="D177" s="18"/>
      <c r="E177" s="18"/>
      <c r="F177" s="17"/>
      <c r="G177" s="18"/>
      <c r="H177" s="18"/>
      <c r="I177" s="18"/>
      <c r="J177" s="15"/>
      <c r="K177" s="37"/>
      <c r="L177" s="328"/>
      <c r="M177" s="47"/>
      <c r="N177" s="263"/>
      <c r="O177" s="17"/>
      <c r="P177" s="18"/>
    </row>
    <row r="178" spans="1:16" ht="15.75" customHeight="1" x14ac:dyDescent="0.25">
      <c r="A178" s="18"/>
      <c r="B178" s="17"/>
      <c r="C178" s="17"/>
      <c r="D178" s="18"/>
      <c r="E178" s="18"/>
      <c r="F178" s="17"/>
      <c r="G178" s="18"/>
      <c r="H178" s="18"/>
      <c r="I178" s="18"/>
      <c r="J178" s="15"/>
      <c r="K178" s="37"/>
      <c r="L178" s="328"/>
      <c r="M178" s="47"/>
      <c r="N178" s="263"/>
      <c r="O178" s="17"/>
      <c r="P178" s="18"/>
    </row>
    <row r="179" spans="1:16" ht="15.75" customHeight="1" x14ac:dyDescent="0.25">
      <c r="A179" s="18"/>
      <c r="B179" s="17"/>
      <c r="C179" s="17"/>
      <c r="D179" s="18"/>
      <c r="E179" s="18"/>
      <c r="F179" s="17"/>
      <c r="G179" s="18"/>
      <c r="H179" s="18"/>
      <c r="I179" s="18"/>
      <c r="J179" s="15"/>
      <c r="K179" s="37"/>
      <c r="L179" s="328"/>
      <c r="M179" s="47"/>
      <c r="N179" s="263"/>
      <c r="O179" s="17"/>
      <c r="P179" s="18"/>
    </row>
    <row r="180" spans="1:16" ht="15.75" customHeight="1" x14ac:dyDescent="0.25">
      <c r="A180" s="18"/>
      <c r="B180" s="17"/>
      <c r="C180" s="17"/>
      <c r="D180" s="18"/>
      <c r="E180" s="18"/>
      <c r="F180" s="17"/>
      <c r="G180" s="18"/>
      <c r="H180" s="18"/>
      <c r="I180" s="18"/>
      <c r="J180" s="15"/>
      <c r="K180" s="37"/>
      <c r="L180" s="328"/>
      <c r="M180" s="47"/>
      <c r="N180" s="263"/>
      <c r="O180" s="17"/>
      <c r="P180" s="18"/>
    </row>
    <row r="181" spans="1:16" ht="15.75" customHeight="1" x14ac:dyDescent="0.25">
      <c r="A181" s="18"/>
      <c r="B181" s="17"/>
      <c r="C181" s="17"/>
      <c r="D181" s="18"/>
      <c r="E181" s="18"/>
      <c r="F181" s="17"/>
      <c r="G181" s="18"/>
      <c r="H181" s="18"/>
      <c r="I181" s="18"/>
      <c r="J181" s="15"/>
      <c r="K181" s="37"/>
      <c r="L181" s="328"/>
      <c r="M181" s="47"/>
      <c r="N181" s="263"/>
      <c r="O181" s="17"/>
      <c r="P181" s="18"/>
    </row>
    <row r="182" spans="1:16" ht="15.75" customHeight="1" x14ac:dyDescent="0.25">
      <c r="A182" s="18"/>
      <c r="B182" s="17"/>
      <c r="C182" s="17"/>
      <c r="D182" s="18"/>
      <c r="E182" s="18"/>
      <c r="F182" s="17"/>
      <c r="G182" s="18"/>
      <c r="H182" s="18"/>
      <c r="I182" s="18"/>
      <c r="J182" s="15"/>
      <c r="K182" s="37"/>
      <c r="L182" s="328"/>
      <c r="M182" s="47"/>
      <c r="N182" s="263"/>
      <c r="O182" s="17"/>
      <c r="P182" s="18"/>
    </row>
    <row r="183" spans="1:16" ht="15.75" customHeight="1" x14ac:dyDescent="0.25">
      <c r="A183" s="18"/>
      <c r="B183" s="17"/>
      <c r="C183" s="17"/>
      <c r="D183" s="18"/>
      <c r="E183" s="18"/>
      <c r="F183" s="17"/>
      <c r="G183" s="18"/>
      <c r="H183" s="18"/>
      <c r="I183" s="18"/>
      <c r="J183" s="15"/>
      <c r="K183" s="37"/>
      <c r="L183" s="328"/>
      <c r="M183" s="47"/>
      <c r="N183" s="263"/>
      <c r="O183" s="17"/>
      <c r="P183" s="18"/>
    </row>
    <row r="184" spans="1:16" ht="15.75" customHeight="1" x14ac:dyDescent="0.25">
      <c r="A184" s="18"/>
      <c r="B184" s="17"/>
      <c r="C184" s="17"/>
      <c r="D184" s="18"/>
      <c r="E184" s="18"/>
      <c r="F184" s="17"/>
      <c r="G184" s="18"/>
      <c r="H184" s="18"/>
      <c r="I184" s="18"/>
      <c r="J184" s="15"/>
      <c r="K184" s="37"/>
      <c r="L184" s="328"/>
      <c r="M184" s="47"/>
      <c r="N184" s="263"/>
      <c r="O184" s="17"/>
      <c r="P184" s="18"/>
    </row>
    <row r="185" spans="1:16" ht="15.75" customHeight="1" x14ac:dyDescent="0.25">
      <c r="A185" s="18"/>
      <c r="B185" s="17"/>
      <c r="C185" s="17"/>
      <c r="D185" s="18"/>
      <c r="E185" s="18"/>
      <c r="F185" s="17"/>
      <c r="G185" s="18"/>
      <c r="H185" s="18"/>
      <c r="I185" s="18"/>
      <c r="J185" s="15"/>
      <c r="K185" s="37"/>
      <c r="L185" s="328"/>
      <c r="M185" s="47"/>
      <c r="N185" s="263"/>
      <c r="O185" s="17"/>
      <c r="P185" s="18"/>
    </row>
    <row r="186" spans="1:16" ht="15.75" customHeight="1" x14ac:dyDescent="0.25">
      <c r="A186" s="18"/>
      <c r="B186" s="17"/>
      <c r="C186" s="17"/>
      <c r="D186" s="18"/>
      <c r="E186" s="18"/>
      <c r="F186" s="17"/>
      <c r="G186" s="18"/>
      <c r="H186" s="18"/>
      <c r="I186" s="18"/>
      <c r="J186" s="15"/>
      <c r="K186" s="37"/>
      <c r="L186" s="328"/>
      <c r="M186" s="47"/>
      <c r="N186" s="263"/>
      <c r="O186" s="17"/>
      <c r="P186" s="18"/>
    </row>
    <row r="187" spans="1:16" ht="15.75" customHeight="1" x14ac:dyDescent="0.25">
      <c r="A187" s="18"/>
      <c r="B187" s="17"/>
      <c r="C187" s="17"/>
      <c r="D187" s="18"/>
      <c r="E187" s="18"/>
      <c r="F187" s="17"/>
      <c r="G187" s="18"/>
      <c r="H187" s="18"/>
      <c r="I187" s="18"/>
      <c r="J187" s="15"/>
      <c r="K187" s="37"/>
      <c r="L187" s="328"/>
      <c r="M187" s="47"/>
      <c r="N187" s="263"/>
      <c r="O187" s="17"/>
      <c r="P187" s="18"/>
    </row>
    <row r="188" spans="1:16" ht="15.75" customHeight="1" x14ac:dyDescent="0.25">
      <c r="A188" s="18"/>
      <c r="B188" s="17"/>
      <c r="C188" s="17"/>
      <c r="D188" s="18"/>
      <c r="E188" s="18"/>
      <c r="F188" s="17"/>
      <c r="G188" s="18"/>
      <c r="H188" s="18"/>
      <c r="I188" s="18"/>
      <c r="J188" s="15"/>
      <c r="K188" s="37"/>
      <c r="L188" s="328"/>
      <c r="M188" s="47"/>
      <c r="N188" s="263"/>
      <c r="O188" s="17"/>
      <c r="P188" s="18"/>
    </row>
    <row r="189" spans="1:16" ht="15.75" customHeight="1" x14ac:dyDescent="0.25">
      <c r="A189" s="18"/>
      <c r="B189" s="17"/>
      <c r="C189" s="17"/>
      <c r="D189" s="18"/>
      <c r="E189" s="18"/>
      <c r="F189" s="17"/>
      <c r="G189" s="18"/>
      <c r="H189" s="18"/>
      <c r="I189" s="18"/>
      <c r="J189" s="15"/>
      <c r="K189" s="37"/>
      <c r="L189" s="328"/>
      <c r="M189" s="47"/>
      <c r="N189" s="263"/>
      <c r="O189" s="17"/>
      <c r="P189" s="18"/>
    </row>
    <row r="190" spans="1:16" ht="15.75" customHeight="1" x14ac:dyDescent="0.25">
      <c r="A190" s="18"/>
      <c r="B190" s="17"/>
      <c r="C190" s="17"/>
      <c r="D190" s="18"/>
      <c r="E190" s="18"/>
      <c r="F190" s="17"/>
      <c r="G190" s="18"/>
      <c r="H190" s="18"/>
      <c r="I190" s="18"/>
      <c r="J190" s="15"/>
      <c r="K190" s="37"/>
      <c r="L190" s="328"/>
      <c r="M190" s="47"/>
      <c r="N190" s="263"/>
      <c r="O190" s="17"/>
      <c r="P190" s="18"/>
    </row>
    <row r="191" spans="1:16" ht="15.75" customHeight="1" x14ac:dyDescent="0.25">
      <c r="A191" s="18"/>
      <c r="B191" s="17"/>
      <c r="C191" s="17"/>
      <c r="D191" s="18"/>
      <c r="E191" s="18"/>
      <c r="F191" s="17"/>
      <c r="G191" s="18"/>
      <c r="H191" s="18"/>
      <c r="I191" s="18"/>
      <c r="J191" s="15"/>
      <c r="K191" s="37"/>
      <c r="L191" s="328"/>
      <c r="M191" s="47"/>
      <c r="N191" s="263"/>
      <c r="O191" s="17"/>
      <c r="P191" s="18"/>
    </row>
    <row r="192" spans="1:16" ht="15.75" customHeight="1" x14ac:dyDescent="0.25">
      <c r="A192" s="18"/>
      <c r="B192" s="17"/>
      <c r="C192" s="17"/>
      <c r="D192" s="18"/>
      <c r="E192" s="18"/>
      <c r="F192" s="17"/>
      <c r="G192" s="18"/>
      <c r="H192" s="18"/>
      <c r="I192" s="18"/>
      <c r="J192" s="15"/>
      <c r="K192" s="37"/>
      <c r="L192" s="328"/>
      <c r="M192" s="47"/>
      <c r="N192" s="263"/>
      <c r="O192" s="17"/>
      <c r="P192" s="18"/>
    </row>
    <row r="193" spans="1:16" ht="15.75" customHeight="1" x14ac:dyDescent="0.25">
      <c r="A193" s="18"/>
      <c r="B193" s="17"/>
      <c r="C193" s="17"/>
      <c r="D193" s="18"/>
      <c r="E193" s="18"/>
      <c r="F193" s="17"/>
      <c r="G193" s="18"/>
      <c r="H193" s="18"/>
      <c r="I193" s="18"/>
      <c r="J193" s="15"/>
      <c r="K193" s="37"/>
      <c r="L193" s="328"/>
      <c r="M193" s="47"/>
      <c r="N193" s="263"/>
      <c r="O193" s="17"/>
      <c r="P193" s="18"/>
    </row>
    <row r="194" spans="1:16" ht="15.75" customHeight="1" x14ac:dyDescent="0.25">
      <c r="A194" s="18"/>
      <c r="B194" s="17"/>
      <c r="C194" s="17"/>
      <c r="D194" s="18"/>
      <c r="E194" s="18"/>
      <c r="F194" s="17"/>
      <c r="G194" s="18"/>
      <c r="H194" s="18"/>
      <c r="I194" s="18"/>
      <c r="J194" s="15"/>
      <c r="K194" s="37"/>
      <c r="L194" s="328"/>
      <c r="M194" s="47"/>
      <c r="N194" s="263"/>
      <c r="O194" s="17"/>
      <c r="P194" s="18"/>
    </row>
    <row r="195" spans="1:16" ht="15.75" customHeight="1" x14ac:dyDescent="0.25">
      <c r="A195" s="18"/>
      <c r="B195" s="17"/>
      <c r="C195" s="17"/>
      <c r="D195" s="18"/>
      <c r="E195" s="18"/>
      <c r="F195" s="17"/>
      <c r="G195" s="18"/>
      <c r="H195" s="18"/>
      <c r="I195" s="18"/>
      <c r="J195" s="15"/>
      <c r="K195" s="37"/>
      <c r="L195" s="328"/>
      <c r="M195" s="47"/>
      <c r="N195" s="263"/>
      <c r="O195" s="17"/>
      <c r="P195" s="18"/>
    </row>
    <row r="196" spans="1:16" ht="15.75" customHeight="1" x14ac:dyDescent="0.25">
      <c r="A196" s="18"/>
      <c r="B196" s="17"/>
      <c r="C196" s="17"/>
      <c r="D196" s="18"/>
      <c r="E196" s="18"/>
      <c r="F196" s="17"/>
      <c r="G196" s="18"/>
      <c r="H196" s="18"/>
      <c r="I196" s="18"/>
      <c r="J196" s="15"/>
      <c r="K196" s="37"/>
      <c r="L196" s="328"/>
      <c r="M196" s="47"/>
      <c r="N196" s="263"/>
      <c r="O196" s="17"/>
      <c r="P196" s="18"/>
    </row>
    <row r="197" spans="1:16" ht="15.75" customHeight="1" x14ac:dyDescent="0.25">
      <c r="A197" s="18"/>
      <c r="B197" s="17"/>
      <c r="C197" s="17"/>
      <c r="D197" s="18"/>
      <c r="E197" s="18"/>
      <c r="F197" s="17"/>
      <c r="G197" s="18"/>
      <c r="H197" s="18"/>
      <c r="I197" s="18"/>
      <c r="J197" s="15"/>
      <c r="K197" s="37"/>
      <c r="L197" s="328"/>
      <c r="M197" s="47"/>
      <c r="N197" s="263"/>
      <c r="O197" s="17"/>
      <c r="P197" s="18"/>
    </row>
    <row r="198" spans="1:16" ht="15.75" customHeight="1" x14ac:dyDescent="0.25">
      <c r="A198" s="18"/>
      <c r="B198" s="17"/>
      <c r="C198" s="17"/>
      <c r="D198" s="18"/>
      <c r="E198" s="18"/>
      <c r="F198" s="17"/>
      <c r="G198" s="18"/>
      <c r="H198" s="18"/>
      <c r="I198" s="18"/>
      <c r="J198" s="15"/>
      <c r="K198" s="37"/>
      <c r="L198" s="328"/>
      <c r="M198" s="47"/>
      <c r="N198" s="263"/>
      <c r="O198" s="17"/>
      <c r="P198" s="18"/>
    </row>
    <row r="199" spans="1:16" ht="15.75" customHeight="1" x14ac:dyDescent="0.25">
      <c r="A199" s="18"/>
      <c r="B199" s="17"/>
      <c r="C199" s="17"/>
      <c r="D199" s="18"/>
      <c r="E199" s="18"/>
      <c r="F199" s="17"/>
      <c r="G199" s="18"/>
      <c r="H199" s="18"/>
      <c r="I199" s="18"/>
      <c r="J199" s="15"/>
      <c r="K199" s="37"/>
      <c r="L199" s="328"/>
      <c r="M199" s="47"/>
      <c r="N199" s="263"/>
      <c r="O199" s="17"/>
      <c r="P199" s="18"/>
    </row>
    <row r="200" spans="1:16" ht="15.75" customHeight="1" x14ac:dyDescent="0.25">
      <c r="A200" s="18"/>
      <c r="B200" s="17"/>
      <c r="C200" s="17"/>
      <c r="D200" s="18"/>
      <c r="E200" s="18"/>
      <c r="F200" s="17"/>
      <c r="G200" s="18"/>
      <c r="H200" s="18"/>
      <c r="I200" s="18"/>
      <c r="J200" s="15"/>
      <c r="K200" s="37"/>
      <c r="L200" s="328"/>
      <c r="M200" s="47"/>
      <c r="N200" s="263"/>
      <c r="O200" s="17"/>
      <c r="P200" s="18"/>
    </row>
    <row r="201" spans="1:16" ht="15.75" customHeight="1" x14ac:dyDescent="0.25">
      <c r="A201" s="18"/>
      <c r="B201" s="17"/>
      <c r="C201" s="17"/>
      <c r="D201" s="18"/>
      <c r="E201" s="18"/>
      <c r="F201" s="17"/>
      <c r="G201" s="18"/>
      <c r="H201" s="18"/>
      <c r="I201" s="18"/>
      <c r="J201" s="15"/>
      <c r="K201" s="37"/>
      <c r="L201" s="328"/>
      <c r="M201" s="47"/>
      <c r="N201" s="263"/>
      <c r="O201" s="17"/>
      <c r="P201" s="18"/>
    </row>
    <row r="202" spans="1:16" ht="15.75" customHeight="1" x14ac:dyDescent="0.25">
      <c r="A202" s="18"/>
      <c r="B202" s="17"/>
      <c r="C202" s="17"/>
      <c r="D202" s="18"/>
      <c r="E202" s="18"/>
      <c r="F202" s="17"/>
      <c r="G202" s="18"/>
      <c r="H202" s="18"/>
      <c r="I202" s="18"/>
      <c r="J202" s="15"/>
      <c r="K202" s="37"/>
      <c r="L202" s="328"/>
      <c r="M202" s="47"/>
      <c r="N202" s="263"/>
      <c r="O202" s="17"/>
      <c r="P202" s="18"/>
    </row>
    <row r="203" spans="1:16" ht="15.75" customHeight="1" x14ac:dyDescent="0.25">
      <c r="A203" s="18"/>
      <c r="B203" s="17"/>
      <c r="C203" s="17"/>
      <c r="D203" s="18"/>
      <c r="E203" s="18"/>
      <c r="F203" s="17"/>
      <c r="G203" s="18"/>
      <c r="H203" s="18"/>
      <c r="I203" s="18"/>
      <c r="J203" s="15"/>
      <c r="K203" s="37"/>
      <c r="L203" s="328"/>
      <c r="M203" s="47"/>
      <c r="N203" s="263"/>
      <c r="O203" s="17"/>
      <c r="P203" s="18"/>
    </row>
    <row r="204" spans="1:16" ht="15.75" customHeight="1" x14ac:dyDescent="0.25">
      <c r="A204" s="18"/>
      <c r="B204" s="17"/>
      <c r="C204" s="17"/>
      <c r="D204" s="18"/>
      <c r="E204" s="18"/>
      <c r="F204" s="17"/>
      <c r="G204" s="18"/>
      <c r="H204" s="18"/>
      <c r="I204" s="18"/>
      <c r="J204" s="15"/>
      <c r="K204" s="37"/>
      <c r="L204" s="328"/>
      <c r="M204" s="47"/>
      <c r="N204" s="263"/>
      <c r="O204" s="17"/>
      <c r="P204" s="18"/>
    </row>
    <row r="205" spans="1:16" ht="15.75" customHeight="1" x14ac:dyDescent="0.25">
      <c r="A205" s="18"/>
      <c r="B205" s="17"/>
      <c r="C205" s="17"/>
      <c r="D205" s="18"/>
      <c r="E205" s="18"/>
      <c r="F205" s="17"/>
      <c r="G205" s="18"/>
      <c r="H205" s="18"/>
      <c r="I205" s="18"/>
      <c r="J205" s="15"/>
      <c r="K205" s="37"/>
      <c r="L205" s="328"/>
      <c r="M205" s="47"/>
      <c r="N205" s="263"/>
      <c r="O205" s="17"/>
      <c r="P205" s="18"/>
    </row>
    <row r="206" spans="1:16" ht="15.75" customHeight="1" x14ac:dyDescent="0.25">
      <c r="A206" s="18"/>
      <c r="B206" s="17"/>
      <c r="C206" s="17"/>
      <c r="D206" s="18"/>
      <c r="E206" s="18"/>
      <c r="F206" s="17"/>
      <c r="G206" s="18"/>
      <c r="H206" s="18"/>
      <c r="I206" s="18"/>
      <c r="J206" s="15"/>
      <c r="K206" s="37"/>
      <c r="L206" s="328"/>
      <c r="M206" s="47"/>
      <c r="N206" s="263"/>
      <c r="O206" s="17"/>
      <c r="P206" s="18"/>
    </row>
    <row r="207" spans="1:16" ht="15.75" customHeight="1" x14ac:dyDescent="0.25">
      <c r="A207" s="18"/>
      <c r="B207" s="17"/>
      <c r="C207" s="17"/>
      <c r="D207" s="18"/>
      <c r="E207" s="18"/>
      <c r="F207" s="17"/>
      <c r="G207" s="18"/>
      <c r="H207" s="18"/>
      <c r="I207" s="18"/>
      <c r="J207" s="15"/>
      <c r="K207" s="37"/>
      <c r="L207" s="328"/>
      <c r="M207" s="47"/>
      <c r="N207" s="263"/>
      <c r="O207" s="17"/>
      <c r="P207" s="18"/>
    </row>
    <row r="208" spans="1:16" ht="15.75" customHeight="1" x14ac:dyDescent="0.25">
      <c r="A208" s="18"/>
      <c r="B208" s="17"/>
      <c r="C208" s="17"/>
      <c r="D208" s="18"/>
      <c r="E208" s="18"/>
      <c r="F208" s="17"/>
      <c r="G208" s="18"/>
      <c r="H208" s="18"/>
      <c r="I208" s="18"/>
      <c r="J208" s="15"/>
      <c r="K208" s="37"/>
      <c r="L208" s="328"/>
      <c r="M208" s="47"/>
      <c r="N208" s="263"/>
      <c r="O208" s="17"/>
      <c r="P208" s="18"/>
    </row>
    <row r="209" spans="1:16" ht="15.75" customHeight="1" x14ac:dyDescent="0.25">
      <c r="A209" s="18"/>
      <c r="B209" s="17"/>
      <c r="C209" s="17"/>
      <c r="D209" s="18"/>
      <c r="E209" s="18"/>
      <c r="F209" s="17"/>
      <c r="G209" s="18"/>
      <c r="H209" s="18"/>
      <c r="I209" s="18"/>
      <c r="J209" s="15"/>
      <c r="K209" s="37"/>
      <c r="L209" s="328"/>
      <c r="M209" s="47"/>
      <c r="N209" s="263"/>
      <c r="O209" s="17"/>
      <c r="P209" s="18"/>
    </row>
    <row r="210" spans="1:16" ht="15.75" customHeight="1" x14ac:dyDescent="0.25">
      <c r="A210" s="18"/>
      <c r="B210" s="17"/>
      <c r="C210" s="17"/>
      <c r="D210" s="18"/>
      <c r="E210" s="18"/>
      <c r="F210" s="17"/>
      <c r="G210" s="18"/>
      <c r="H210" s="18"/>
      <c r="I210" s="18"/>
      <c r="J210" s="15"/>
      <c r="K210" s="37"/>
      <c r="L210" s="328"/>
      <c r="M210" s="47"/>
      <c r="N210" s="263"/>
      <c r="O210" s="17"/>
      <c r="P210" s="18"/>
    </row>
    <row r="211" spans="1:16" ht="15.75" customHeight="1" x14ac:dyDescent="0.25">
      <c r="A211" s="18"/>
      <c r="B211" s="17"/>
      <c r="C211" s="17"/>
      <c r="D211" s="18"/>
      <c r="E211" s="18"/>
      <c r="F211" s="17"/>
      <c r="G211" s="18"/>
      <c r="H211" s="18"/>
      <c r="I211" s="18"/>
      <c r="J211" s="15"/>
      <c r="K211" s="37"/>
      <c r="L211" s="328"/>
      <c r="M211" s="47"/>
      <c r="N211" s="263"/>
      <c r="O211" s="17"/>
      <c r="P211" s="18"/>
    </row>
    <row r="212" spans="1:16" ht="15.75" customHeight="1" x14ac:dyDescent="0.25">
      <c r="A212" s="18"/>
      <c r="B212" s="17"/>
      <c r="C212" s="17"/>
      <c r="D212" s="18"/>
      <c r="E212" s="18"/>
      <c r="F212" s="17"/>
      <c r="G212" s="18"/>
      <c r="H212" s="18"/>
      <c r="I212" s="18"/>
      <c r="J212" s="15"/>
      <c r="K212" s="37"/>
      <c r="L212" s="328"/>
      <c r="M212" s="47"/>
      <c r="N212" s="263"/>
      <c r="O212" s="17"/>
      <c r="P212" s="18"/>
    </row>
    <row r="213" spans="1:16" ht="15.75" customHeight="1" x14ac:dyDescent="0.25">
      <c r="A213" s="18"/>
      <c r="B213" s="17"/>
      <c r="C213" s="17"/>
      <c r="D213" s="18"/>
      <c r="E213" s="18"/>
      <c r="F213" s="17"/>
      <c r="G213" s="18"/>
      <c r="H213" s="18"/>
      <c r="I213" s="18"/>
      <c r="J213" s="15"/>
      <c r="K213" s="37"/>
      <c r="L213" s="328"/>
      <c r="M213" s="47"/>
      <c r="N213" s="263"/>
      <c r="O213" s="17"/>
      <c r="P213" s="18"/>
    </row>
    <row r="214" spans="1:16" ht="15.75" customHeight="1" x14ac:dyDescent="0.25">
      <c r="A214" s="18"/>
      <c r="B214" s="17"/>
      <c r="C214" s="17"/>
      <c r="D214" s="18"/>
      <c r="E214" s="18"/>
      <c r="F214" s="17"/>
      <c r="G214" s="18"/>
      <c r="H214" s="18"/>
      <c r="I214" s="18"/>
      <c r="J214" s="15"/>
      <c r="K214" s="37"/>
      <c r="L214" s="328"/>
      <c r="M214" s="47"/>
      <c r="N214" s="263"/>
      <c r="O214" s="17"/>
      <c r="P214" s="18"/>
    </row>
    <row r="215" spans="1:16" ht="15.75" customHeight="1" x14ac:dyDescent="0.25">
      <c r="A215" s="18"/>
      <c r="B215" s="17"/>
      <c r="C215" s="17"/>
      <c r="D215" s="18"/>
      <c r="E215" s="18"/>
      <c r="F215" s="17"/>
      <c r="G215" s="18"/>
      <c r="H215" s="18"/>
      <c r="I215" s="18"/>
      <c r="J215" s="15"/>
      <c r="K215" s="37"/>
      <c r="L215" s="328"/>
      <c r="M215" s="47"/>
      <c r="N215" s="263"/>
      <c r="O215" s="17"/>
      <c r="P215" s="18"/>
    </row>
    <row r="216" spans="1:16" ht="15.75" customHeight="1" x14ac:dyDescent="0.25">
      <c r="A216" s="18"/>
      <c r="B216" s="17"/>
      <c r="C216" s="17"/>
      <c r="D216" s="18"/>
      <c r="E216" s="18"/>
      <c r="F216" s="17"/>
      <c r="G216" s="18"/>
      <c r="H216" s="18"/>
      <c r="I216" s="18"/>
      <c r="J216" s="15"/>
      <c r="K216" s="37"/>
      <c r="L216" s="328"/>
      <c r="M216" s="47"/>
      <c r="N216" s="263"/>
      <c r="O216" s="17"/>
      <c r="P216" s="18"/>
    </row>
    <row r="217" spans="1:16" ht="15.75" customHeight="1" x14ac:dyDescent="0.25">
      <c r="A217" s="18"/>
      <c r="B217" s="17"/>
      <c r="C217" s="17"/>
      <c r="D217" s="18"/>
      <c r="E217" s="18"/>
      <c r="F217" s="17"/>
      <c r="G217" s="18"/>
      <c r="H217" s="18"/>
      <c r="I217" s="18"/>
      <c r="J217" s="15"/>
      <c r="K217" s="37"/>
      <c r="L217" s="328"/>
      <c r="M217" s="47"/>
      <c r="N217" s="263"/>
      <c r="O217" s="17"/>
      <c r="P217" s="18"/>
    </row>
    <row r="218" spans="1:16" ht="15.75" customHeight="1" x14ac:dyDescent="0.25">
      <c r="A218" s="18"/>
      <c r="B218" s="17"/>
      <c r="C218" s="17"/>
      <c r="D218" s="18"/>
      <c r="E218" s="18"/>
      <c r="F218" s="17"/>
      <c r="G218" s="18"/>
      <c r="H218" s="18"/>
      <c r="I218" s="18"/>
      <c r="J218" s="15"/>
      <c r="K218" s="37"/>
      <c r="L218" s="328"/>
      <c r="M218" s="47"/>
      <c r="N218" s="263"/>
      <c r="O218" s="17"/>
      <c r="P218" s="18"/>
    </row>
    <row r="219" spans="1:16" ht="15.75" customHeight="1" x14ac:dyDescent="0.25">
      <c r="A219" s="18"/>
      <c r="B219" s="17"/>
      <c r="C219" s="17"/>
      <c r="D219" s="18"/>
      <c r="E219" s="18"/>
      <c r="F219" s="17"/>
      <c r="G219" s="18"/>
      <c r="H219" s="18"/>
      <c r="I219" s="18"/>
      <c r="J219" s="15"/>
      <c r="K219" s="37"/>
      <c r="L219" s="328"/>
      <c r="M219" s="47"/>
      <c r="N219" s="263"/>
      <c r="O219" s="17"/>
      <c r="P219" s="18"/>
    </row>
    <row r="220" spans="1:16" ht="15.75" customHeight="1" x14ac:dyDescent="0.25">
      <c r="A220" s="18"/>
      <c r="B220" s="17"/>
      <c r="C220" s="17"/>
      <c r="D220" s="18"/>
      <c r="E220" s="18"/>
      <c r="F220" s="17"/>
      <c r="G220" s="18"/>
      <c r="H220" s="18"/>
      <c r="I220" s="18"/>
      <c r="J220" s="15"/>
      <c r="K220" s="37"/>
      <c r="L220" s="328"/>
      <c r="M220" s="47"/>
      <c r="N220" s="263"/>
      <c r="O220" s="17"/>
      <c r="P220" s="18"/>
    </row>
    <row r="221" spans="1:16" ht="15.75" customHeight="1" x14ac:dyDescent="0.25">
      <c r="A221" s="18"/>
      <c r="B221" s="17"/>
      <c r="C221" s="17"/>
      <c r="D221" s="18"/>
      <c r="E221" s="18"/>
      <c r="F221" s="17"/>
      <c r="G221" s="18"/>
      <c r="H221" s="18"/>
      <c r="I221" s="18"/>
      <c r="J221" s="15"/>
      <c r="K221" s="37"/>
      <c r="L221" s="328"/>
      <c r="M221" s="47"/>
      <c r="N221" s="263"/>
      <c r="O221" s="17"/>
      <c r="P221" s="18"/>
    </row>
    <row r="222" spans="1:16" ht="15.75" customHeight="1" x14ac:dyDescent="0.25">
      <c r="A222" s="18"/>
      <c r="B222" s="17"/>
      <c r="C222" s="17"/>
      <c r="D222" s="18"/>
      <c r="E222" s="18"/>
      <c r="F222" s="17"/>
      <c r="G222" s="18"/>
      <c r="H222" s="18"/>
      <c r="I222" s="18"/>
      <c r="J222" s="15"/>
      <c r="K222" s="37"/>
      <c r="L222" s="328"/>
      <c r="M222" s="47"/>
      <c r="N222" s="263"/>
      <c r="O222" s="17"/>
      <c r="P222" s="18"/>
    </row>
    <row r="223" spans="1:16" ht="15.75" customHeight="1" x14ac:dyDescent="0.25">
      <c r="A223" s="18"/>
      <c r="B223" s="17"/>
      <c r="C223" s="17"/>
      <c r="D223" s="18"/>
      <c r="E223" s="18"/>
      <c r="F223" s="17"/>
      <c r="G223" s="18"/>
      <c r="H223" s="18"/>
      <c r="I223" s="18"/>
      <c r="J223" s="15"/>
      <c r="K223" s="37"/>
      <c r="L223" s="328"/>
      <c r="M223" s="47"/>
      <c r="N223" s="263"/>
      <c r="O223" s="17"/>
      <c r="P223" s="18"/>
    </row>
    <row r="224" spans="1:16" ht="15.75" customHeight="1" x14ac:dyDescent="0.25">
      <c r="A224" s="18"/>
      <c r="B224" s="17"/>
      <c r="C224" s="17"/>
      <c r="D224" s="18"/>
      <c r="E224" s="18"/>
      <c r="F224" s="17"/>
      <c r="G224" s="18"/>
      <c r="H224" s="18"/>
      <c r="I224" s="18"/>
      <c r="J224" s="15"/>
      <c r="K224" s="37"/>
      <c r="L224" s="328"/>
      <c r="M224" s="47"/>
      <c r="N224" s="263"/>
      <c r="O224" s="17"/>
      <c r="P224" s="18"/>
    </row>
    <row r="225" spans="1:16" ht="15.75" customHeight="1" x14ac:dyDescent="0.25">
      <c r="A225" s="18"/>
      <c r="B225" s="17"/>
      <c r="C225" s="17"/>
      <c r="D225" s="18"/>
      <c r="E225" s="18"/>
      <c r="F225" s="17"/>
      <c r="G225" s="18"/>
      <c r="H225" s="18"/>
      <c r="I225" s="18"/>
      <c r="J225" s="15"/>
      <c r="K225" s="37"/>
      <c r="L225" s="328"/>
      <c r="M225" s="47"/>
      <c r="N225" s="263"/>
      <c r="O225" s="17"/>
      <c r="P225" s="18"/>
    </row>
    <row r="226" spans="1:16" ht="15.75" customHeight="1" x14ac:dyDescent="0.25">
      <c r="A226" s="18"/>
      <c r="B226" s="17"/>
      <c r="C226" s="17"/>
      <c r="D226" s="18"/>
      <c r="E226" s="18"/>
      <c r="F226" s="17"/>
      <c r="G226" s="18"/>
      <c r="H226" s="18"/>
      <c r="I226" s="18"/>
      <c r="J226" s="15"/>
      <c r="K226" s="37"/>
      <c r="L226" s="328"/>
      <c r="M226" s="47"/>
      <c r="N226" s="263"/>
      <c r="O226" s="17"/>
      <c r="P226" s="18"/>
    </row>
    <row r="227" spans="1:16" ht="15.75" customHeight="1" x14ac:dyDescent="0.25">
      <c r="A227" s="18"/>
      <c r="B227" s="17"/>
      <c r="C227" s="17"/>
      <c r="D227" s="18"/>
      <c r="E227" s="18"/>
      <c r="F227" s="17"/>
      <c r="G227" s="18"/>
      <c r="H227" s="18"/>
      <c r="I227" s="18"/>
      <c r="J227" s="15"/>
      <c r="K227" s="37"/>
      <c r="L227" s="328"/>
      <c r="M227" s="47"/>
      <c r="N227" s="263"/>
      <c r="O227" s="17"/>
      <c r="P227" s="18"/>
    </row>
    <row r="228" spans="1:16" ht="15.75" customHeight="1" x14ac:dyDescent="0.25">
      <c r="A228" s="18"/>
      <c r="B228" s="17"/>
      <c r="C228" s="17"/>
      <c r="D228" s="18"/>
      <c r="E228" s="18"/>
      <c r="F228" s="17"/>
      <c r="G228" s="18"/>
      <c r="H228" s="18"/>
      <c r="I228" s="18"/>
      <c r="J228" s="15"/>
      <c r="K228" s="37"/>
      <c r="L228" s="328"/>
      <c r="M228" s="47"/>
      <c r="N228" s="263"/>
      <c r="O228" s="17"/>
      <c r="P228" s="18"/>
    </row>
    <row r="229" spans="1:16" ht="15.75" customHeight="1" x14ac:dyDescent="0.25">
      <c r="A229" s="18"/>
      <c r="B229" s="17"/>
      <c r="C229" s="17"/>
      <c r="D229" s="18"/>
      <c r="E229" s="18"/>
      <c r="F229" s="17"/>
      <c r="G229" s="18"/>
      <c r="H229" s="18"/>
      <c r="I229" s="18"/>
      <c r="J229" s="15"/>
      <c r="K229" s="37"/>
      <c r="L229" s="328"/>
      <c r="M229" s="47"/>
      <c r="N229" s="263"/>
      <c r="O229" s="17"/>
      <c r="P229" s="18"/>
    </row>
    <row r="230" spans="1:16" ht="15.75" customHeight="1" x14ac:dyDescent="0.25">
      <c r="A230" s="18"/>
      <c r="B230" s="17"/>
      <c r="C230" s="17"/>
      <c r="D230" s="18"/>
      <c r="E230" s="18"/>
      <c r="F230" s="17"/>
      <c r="G230" s="18"/>
      <c r="H230" s="18"/>
      <c r="I230" s="18"/>
      <c r="J230" s="15"/>
      <c r="K230" s="37"/>
      <c r="L230" s="328"/>
      <c r="M230" s="47"/>
      <c r="N230" s="263"/>
      <c r="O230" s="17"/>
      <c r="P230" s="18"/>
    </row>
    <row r="231" spans="1:16" ht="15.75" customHeight="1" x14ac:dyDescent="0.25">
      <c r="A231" s="18"/>
      <c r="B231" s="17"/>
      <c r="C231" s="17"/>
      <c r="D231" s="18"/>
      <c r="E231" s="18"/>
      <c r="F231" s="17"/>
      <c r="G231" s="18"/>
      <c r="H231" s="18"/>
      <c r="I231" s="18"/>
      <c r="J231" s="15"/>
      <c r="K231" s="37"/>
      <c r="L231" s="328"/>
      <c r="M231" s="47"/>
      <c r="N231" s="263"/>
      <c r="O231" s="17"/>
      <c r="P231" s="18"/>
    </row>
    <row r="232" spans="1:16" ht="15.75" customHeight="1" x14ac:dyDescent="0.25">
      <c r="A232" s="18"/>
      <c r="B232" s="17"/>
      <c r="C232" s="17"/>
      <c r="D232" s="18"/>
      <c r="E232" s="18"/>
      <c r="F232" s="17"/>
      <c r="G232" s="18"/>
      <c r="H232" s="18"/>
      <c r="I232" s="18"/>
      <c r="J232" s="15"/>
      <c r="K232" s="37"/>
      <c r="L232" s="328"/>
      <c r="M232" s="47"/>
      <c r="N232" s="263"/>
      <c r="O232" s="17"/>
      <c r="P232" s="18"/>
    </row>
    <row r="233" spans="1:16" ht="15.75" customHeight="1" x14ac:dyDescent="0.25">
      <c r="A233" s="18"/>
      <c r="B233" s="17"/>
      <c r="C233" s="17"/>
      <c r="D233" s="18"/>
      <c r="E233" s="18"/>
      <c r="F233" s="17"/>
      <c r="G233" s="18"/>
      <c r="H233" s="18"/>
      <c r="I233" s="18"/>
      <c r="J233" s="15"/>
      <c r="K233" s="37"/>
      <c r="L233" s="328"/>
      <c r="M233" s="47"/>
      <c r="N233" s="263"/>
      <c r="O233" s="17"/>
      <c r="P233" s="18"/>
    </row>
    <row r="234" spans="1:16" ht="15.75" customHeight="1" x14ac:dyDescent="0.25">
      <c r="A234" s="18"/>
      <c r="B234" s="17"/>
      <c r="C234" s="17"/>
      <c r="D234" s="18"/>
      <c r="E234" s="18"/>
      <c r="F234" s="17"/>
      <c r="G234" s="18"/>
      <c r="H234" s="18"/>
      <c r="I234" s="18"/>
      <c r="J234" s="15"/>
      <c r="K234" s="37"/>
      <c r="L234" s="328"/>
      <c r="M234" s="47"/>
      <c r="N234" s="263"/>
      <c r="O234" s="17"/>
      <c r="P234" s="18"/>
    </row>
    <row r="235" spans="1:16" ht="15.75" customHeight="1" x14ac:dyDescent="0.25">
      <c r="A235" s="18"/>
      <c r="B235" s="17"/>
      <c r="C235" s="17"/>
      <c r="D235" s="18"/>
      <c r="E235" s="18"/>
      <c r="F235" s="17"/>
      <c r="G235" s="18"/>
      <c r="H235" s="18"/>
      <c r="I235" s="18"/>
      <c r="J235" s="15"/>
      <c r="K235" s="37"/>
      <c r="L235" s="328"/>
      <c r="M235" s="47"/>
      <c r="N235" s="263"/>
      <c r="O235" s="17"/>
      <c r="P235" s="18"/>
    </row>
    <row r="236" spans="1:16" ht="15.75" customHeight="1" x14ac:dyDescent="0.25">
      <c r="A236" s="18"/>
      <c r="B236" s="17"/>
      <c r="C236" s="17"/>
      <c r="D236" s="18"/>
      <c r="E236" s="18"/>
      <c r="F236" s="17"/>
      <c r="G236" s="18"/>
      <c r="H236" s="18"/>
      <c r="I236" s="18"/>
      <c r="J236" s="15"/>
      <c r="K236" s="37"/>
      <c r="L236" s="328"/>
      <c r="M236" s="47"/>
      <c r="N236" s="263"/>
      <c r="O236" s="17"/>
      <c r="P236" s="18"/>
    </row>
    <row r="237" spans="1:16" ht="15.75" customHeight="1" x14ac:dyDescent="0.25">
      <c r="A237" s="18"/>
      <c r="B237" s="17"/>
      <c r="C237" s="17"/>
      <c r="D237" s="18"/>
      <c r="E237" s="18"/>
      <c r="F237" s="17"/>
      <c r="G237" s="18"/>
      <c r="H237" s="18"/>
      <c r="I237" s="18"/>
      <c r="J237" s="15"/>
      <c r="K237" s="37"/>
      <c r="L237" s="328"/>
      <c r="M237" s="47"/>
      <c r="N237" s="263"/>
      <c r="O237" s="17"/>
      <c r="P237" s="18"/>
    </row>
    <row r="238" spans="1:16" ht="15.75" customHeight="1" x14ac:dyDescent="0.25">
      <c r="A238" s="18"/>
      <c r="B238" s="17"/>
      <c r="C238" s="17"/>
      <c r="D238" s="18"/>
      <c r="E238" s="18"/>
      <c r="F238" s="17"/>
      <c r="G238" s="18"/>
      <c r="H238" s="18"/>
      <c r="I238" s="18"/>
      <c r="J238" s="15"/>
      <c r="K238" s="37"/>
      <c r="L238" s="328"/>
      <c r="M238" s="47"/>
      <c r="N238" s="263"/>
      <c r="O238" s="17"/>
      <c r="P238" s="18"/>
    </row>
    <row r="239" spans="1:16" ht="15.75" customHeight="1" x14ac:dyDescent="0.25">
      <c r="A239" s="18"/>
      <c r="B239" s="17"/>
      <c r="C239" s="17"/>
      <c r="D239" s="18"/>
      <c r="E239" s="18"/>
      <c r="F239" s="17"/>
      <c r="G239" s="18"/>
      <c r="H239" s="18"/>
      <c r="I239" s="18"/>
      <c r="J239" s="15"/>
      <c r="K239" s="37"/>
      <c r="L239" s="328"/>
      <c r="M239" s="47"/>
      <c r="N239" s="263"/>
      <c r="O239" s="17"/>
      <c r="P239" s="18"/>
    </row>
    <row r="240" spans="1:16" ht="15.75" customHeight="1" x14ac:dyDescent="0.25">
      <c r="A240" s="18"/>
      <c r="B240" s="17"/>
      <c r="C240" s="17"/>
      <c r="D240" s="18"/>
      <c r="E240" s="18"/>
      <c r="F240" s="17"/>
      <c r="G240" s="18"/>
      <c r="H240" s="18"/>
      <c r="I240" s="18"/>
      <c r="J240" s="15"/>
      <c r="K240" s="37"/>
      <c r="L240" s="328"/>
      <c r="M240" s="47"/>
      <c r="N240" s="263"/>
      <c r="O240" s="17"/>
      <c r="P240" s="18"/>
    </row>
    <row r="241" spans="1:16" ht="15.75" customHeight="1" x14ac:dyDescent="0.25">
      <c r="A241" s="18"/>
      <c r="B241" s="17"/>
      <c r="C241" s="17"/>
      <c r="D241" s="18"/>
      <c r="E241" s="18"/>
      <c r="F241" s="17"/>
      <c r="G241" s="18"/>
      <c r="H241" s="18"/>
      <c r="I241" s="18"/>
      <c r="J241" s="15"/>
      <c r="K241" s="37"/>
      <c r="L241" s="328"/>
      <c r="M241" s="47"/>
      <c r="N241" s="263"/>
      <c r="O241" s="17"/>
      <c r="P241" s="18"/>
    </row>
    <row r="242" spans="1:16" ht="15.75" customHeight="1" x14ac:dyDescent="0.25">
      <c r="A242" s="18"/>
      <c r="B242" s="17"/>
      <c r="C242" s="17"/>
      <c r="D242" s="18"/>
      <c r="E242" s="18"/>
      <c r="F242" s="17"/>
      <c r="G242" s="18"/>
      <c r="H242" s="18"/>
      <c r="I242" s="18"/>
      <c r="J242" s="15"/>
      <c r="K242" s="37"/>
      <c r="L242" s="328"/>
      <c r="M242" s="47"/>
      <c r="N242" s="263"/>
      <c r="O242" s="17"/>
      <c r="P242" s="18"/>
    </row>
    <row r="243" spans="1:16" ht="15.75" customHeight="1" x14ac:dyDescent="0.25">
      <c r="A243" s="18"/>
      <c r="B243" s="17"/>
      <c r="C243" s="17"/>
      <c r="D243" s="18"/>
      <c r="E243" s="18"/>
      <c r="F243" s="17"/>
      <c r="G243" s="18"/>
      <c r="H243" s="18"/>
      <c r="I243" s="18"/>
      <c r="J243" s="15"/>
      <c r="K243" s="37"/>
      <c r="L243" s="328"/>
      <c r="M243" s="47"/>
      <c r="N243" s="263"/>
      <c r="O243" s="17"/>
      <c r="P243" s="18"/>
    </row>
    <row r="244" spans="1:16" ht="15.75" customHeight="1" x14ac:dyDescent="0.25">
      <c r="A244" s="18"/>
      <c r="B244" s="17"/>
      <c r="C244" s="17"/>
      <c r="D244" s="18"/>
      <c r="E244" s="18"/>
      <c r="F244" s="17"/>
      <c r="G244" s="18"/>
      <c r="H244" s="18"/>
      <c r="I244" s="18"/>
      <c r="J244" s="15"/>
      <c r="K244" s="37"/>
      <c r="L244" s="328"/>
      <c r="M244" s="47"/>
      <c r="N244" s="263"/>
      <c r="O244" s="17"/>
      <c r="P244" s="18"/>
    </row>
    <row r="245" spans="1:16" ht="15.75" customHeight="1" x14ac:dyDescent="0.25">
      <c r="A245" s="18"/>
      <c r="B245" s="17"/>
      <c r="C245" s="17"/>
      <c r="D245" s="18"/>
      <c r="E245" s="18"/>
      <c r="F245" s="17"/>
      <c r="G245" s="18"/>
      <c r="H245" s="18"/>
      <c r="I245" s="18"/>
      <c r="J245" s="15"/>
      <c r="K245" s="37"/>
      <c r="L245" s="328"/>
      <c r="M245" s="47"/>
      <c r="N245" s="263"/>
      <c r="O245" s="17"/>
      <c r="P245" s="18"/>
    </row>
    <row r="246" spans="1:16" ht="15.75" customHeight="1" x14ac:dyDescent="0.25">
      <c r="A246" s="18"/>
      <c r="B246" s="17"/>
      <c r="C246" s="17"/>
      <c r="D246" s="18"/>
      <c r="E246" s="18"/>
      <c r="F246" s="17"/>
      <c r="G246" s="18"/>
      <c r="H246" s="18"/>
      <c r="I246" s="18"/>
      <c r="J246" s="15"/>
      <c r="K246" s="37"/>
      <c r="L246" s="328"/>
      <c r="M246" s="47"/>
      <c r="N246" s="263"/>
      <c r="O246" s="17"/>
      <c r="P246" s="18"/>
    </row>
    <row r="247" spans="1:16" ht="15.75" customHeight="1" x14ac:dyDescent="0.25">
      <c r="A247" s="18"/>
      <c r="B247" s="17"/>
      <c r="C247" s="17"/>
      <c r="D247" s="18"/>
      <c r="E247" s="18"/>
      <c r="F247" s="17"/>
      <c r="G247" s="18"/>
      <c r="H247" s="18"/>
      <c r="I247" s="18"/>
      <c r="J247" s="15"/>
      <c r="K247" s="37"/>
      <c r="L247" s="328"/>
      <c r="M247" s="47"/>
      <c r="N247" s="263"/>
      <c r="O247" s="17"/>
      <c r="P247" s="18"/>
    </row>
    <row r="248" spans="1:16" ht="15.75" customHeight="1" x14ac:dyDescent="0.25">
      <c r="A248" s="18"/>
      <c r="B248" s="17"/>
      <c r="C248" s="17"/>
      <c r="D248" s="18"/>
      <c r="E248" s="18"/>
      <c r="F248" s="17"/>
      <c r="G248" s="18"/>
      <c r="H248" s="18"/>
      <c r="I248" s="18"/>
      <c r="J248" s="15"/>
      <c r="K248" s="37"/>
      <c r="L248" s="328"/>
      <c r="M248" s="47"/>
      <c r="N248" s="263"/>
      <c r="O248" s="17"/>
      <c r="P248" s="18"/>
    </row>
    <row r="249" spans="1:16" ht="15.75" customHeight="1" x14ac:dyDescent="0.25">
      <c r="A249" s="18"/>
      <c r="B249" s="17"/>
      <c r="C249" s="17"/>
      <c r="D249" s="18"/>
      <c r="E249" s="18"/>
      <c r="F249" s="17"/>
      <c r="G249" s="18"/>
      <c r="H249" s="18"/>
      <c r="I249" s="18"/>
      <c r="J249" s="15"/>
      <c r="K249" s="37"/>
      <c r="L249" s="328"/>
      <c r="M249" s="47"/>
      <c r="N249" s="263"/>
      <c r="O249" s="17"/>
      <c r="P249" s="18"/>
    </row>
    <row r="250" spans="1:16" ht="15.75" customHeight="1" x14ac:dyDescent="0.25">
      <c r="A250" s="18"/>
      <c r="B250" s="17"/>
      <c r="C250" s="17"/>
      <c r="D250" s="18"/>
      <c r="E250" s="18"/>
      <c r="F250" s="17"/>
      <c r="G250" s="18"/>
      <c r="H250" s="18"/>
      <c r="I250" s="18"/>
      <c r="J250" s="15"/>
      <c r="K250" s="37"/>
      <c r="L250" s="328"/>
      <c r="M250" s="47"/>
      <c r="N250" s="263"/>
      <c r="O250" s="17"/>
      <c r="P250" s="18"/>
    </row>
    <row r="251" spans="1:16" ht="15.75" customHeight="1" x14ac:dyDescent="0.25">
      <c r="A251" s="18"/>
      <c r="B251" s="17"/>
      <c r="C251" s="17"/>
      <c r="D251" s="18"/>
      <c r="E251" s="18"/>
      <c r="F251" s="17"/>
      <c r="G251" s="18"/>
      <c r="H251" s="18"/>
      <c r="I251" s="18"/>
      <c r="J251" s="15"/>
      <c r="K251" s="37"/>
      <c r="L251" s="328"/>
      <c r="M251" s="47"/>
      <c r="N251" s="263"/>
      <c r="O251" s="17"/>
      <c r="P251" s="18"/>
    </row>
    <row r="252" spans="1:16" ht="15.75" customHeight="1" x14ac:dyDescent="0.25">
      <c r="A252" s="18"/>
      <c r="B252" s="17"/>
      <c r="C252" s="17"/>
      <c r="D252" s="18"/>
      <c r="E252" s="18"/>
      <c r="F252" s="17"/>
      <c r="G252" s="18"/>
      <c r="H252" s="18"/>
      <c r="I252" s="18"/>
      <c r="J252" s="15"/>
      <c r="K252" s="37"/>
      <c r="L252" s="328"/>
      <c r="M252" s="47"/>
      <c r="N252" s="263"/>
      <c r="O252" s="17"/>
      <c r="P252" s="18"/>
    </row>
    <row r="253" spans="1:16" ht="15.75" customHeight="1" x14ac:dyDescent="0.25">
      <c r="A253" s="18"/>
      <c r="B253" s="17"/>
      <c r="C253" s="17"/>
      <c r="D253" s="18"/>
      <c r="E253" s="18"/>
      <c r="F253" s="17"/>
      <c r="G253" s="18"/>
      <c r="H253" s="18"/>
      <c r="I253" s="18"/>
      <c r="J253" s="15"/>
      <c r="K253" s="37"/>
      <c r="L253" s="328"/>
      <c r="M253" s="47"/>
      <c r="N253" s="263"/>
      <c r="O253" s="17"/>
      <c r="P253" s="18"/>
    </row>
    <row r="254" spans="1:16" ht="15.75" customHeight="1" x14ac:dyDescent="0.25">
      <c r="A254" s="18"/>
      <c r="B254" s="17"/>
      <c r="C254" s="17"/>
      <c r="D254" s="18"/>
      <c r="E254" s="18"/>
      <c r="F254" s="17"/>
      <c r="G254" s="18"/>
      <c r="H254" s="18"/>
      <c r="I254" s="18"/>
      <c r="J254" s="15"/>
      <c r="K254" s="37"/>
      <c r="L254" s="328"/>
      <c r="M254" s="47"/>
      <c r="N254" s="263"/>
      <c r="O254" s="17"/>
      <c r="P254" s="18"/>
    </row>
    <row r="255" spans="1:16" ht="15.75" customHeight="1" x14ac:dyDescent="0.25">
      <c r="A255" s="18"/>
      <c r="B255" s="17"/>
      <c r="C255" s="17"/>
      <c r="D255" s="18"/>
      <c r="E255" s="18"/>
      <c r="F255" s="17"/>
      <c r="G255" s="18"/>
      <c r="H255" s="18"/>
      <c r="I255" s="18"/>
      <c r="J255" s="15"/>
      <c r="K255" s="37"/>
      <c r="L255" s="328"/>
      <c r="M255" s="47"/>
      <c r="N255" s="263"/>
      <c r="O255" s="17"/>
      <c r="P255" s="18"/>
    </row>
    <row r="256" spans="1:16" ht="15.75" customHeight="1" x14ac:dyDescent="0.25">
      <c r="A256" s="18"/>
      <c r="B256" s="17"/>
      <c r="C256" s="17"/>
      <c r="D256" s="18"/>
      <c r="E256" s="18"/>
      <c r="F256" s="17"/>
      <c r="G256" s="18"/>
      <c r="H256" s="18"/>
      <c r="I256" s="18"/>
      <c r="J256" s="15"/>
      <c r="K256" s="37"/>
      <c r="L256" s="328"/>
      <c r="M256" s="47"/>
      <c r="N256" s="263"/>
      <c r="O256" s="17"/>
      <c r="P256" s="18"/>
    </row>
    <row r="257" spans="1:16" ht="15.75" customHeight="1" x14ac:dyDescent="0.25">
      <c r="A257" s="18"/>
      <c r="B257" s="17"/>
      <c r="C257" s="17"/>
      <c r="D257" s="18"/>
      <c r="E257" s="18"/>
      <c r="F257" s="17"/>
      <c r="G257" s="18"/>
      <c r="H257" s="18"/>
      <c r="I257" s="18"/>
      <c r="J257" s="15"/>
      <c r="K257" s="37"/>
      <c r="L257" s="328"/>
      <c r="M257" s="47"/>
      <c r="N257" s="263"/>
      <c r="O257" s="17"/>
      <c r="P257" s="18"/>
    </row>
    <row r="258" spans="1:16" ht="15.75" customHeight="1" x14ac:dyDescent="0.25">
      <c r="A258" s="18"/>
      <c r="B258" s="17"/>
      <c r="C258" s="17"/>
      <c r="D258" s="18"/>
      <c r="E258" s="18"/>
      <c r="F258" s="17"/>
      <c r="G258" s="18"/>
      <c r="H258" s="18"/>
      <c r="I258" s="18"/>
      <c r="J258" s="15"/>
      <c r="K258" s="37"/>
      <c r="L258" s="328"/>
      <c r="M258" s="47"/>
      <c r="N258" s="263"/>
      <c r="O258" s="17"/>
      <c r="P258" s="18"/>
    </row>
    <row r="259" spans="1:16" ht="15.75" customHeight="1" x14ac:dyDescent="0.25">
      <c r="A259" s="18"/>
      <c r="B259" s="17"/>
      <c r="C259" s="17"/>
      <c r="D259" s="18"/>
      <c r="E259" s="18"/>
      <c r="F259" s="17"/>
      <c r="G259" s="18"/>
      <c r="H259" s="18"/>
      <c r="I259" s="18"/>
      <c r="J259" s="15"/>
      <c r="K259" s="37"/>
      <c r="L259" s="328"/>
      <c r="M259" s="47"/>
      <c r="N259" s="263"/>
      <c r="O259" s="17"/>
      <c r="P259" s="18"/>
    </row>
    <row r="260" spans="1:16" ht="15.75" customHeight="1" x14ac:dyDescent="0.25">
      <c r="A260" s="18"/>
      <c r="B260" s="17"/>
      <c r="C260" s="17"/>
      <c r="D260" s="18"/>
      <c r="E260" s="18"/>
      <c r="F260" s="17"/>
      <c r="G260" s="18"/>
      <c r="H260" s="18"/>
      <c r="I260" s="18"/>
      <c r="J260" s="15"/>
      <c r="K260" s="37"/>
      <c r="L260" s="328"/>
      <c r="M260" s="47"/>
      <c r="N260" s="263"/>
      <c r="O260" s="17"/>
      <c r="P260" s="18"/>
    </row>
    <row r="261" spans="1:16" ht="15.75" customHeight="1" x14ac:dyDescent="0.25">
      <c r="A261" s="18"/>
      <c r="B261" s="17"/>
      <c r="C261" s="17"/>
      <c r="D261" s="18"/>
      <c r="E261" s="18"/>
      <c r="F261" s="17"/>
      <c r="G261" s="18"/>
      <c r="H261" s="18"/>
      <c r="I261" s="18"/>
      <c r="J261" s="15"/>
      <c r="K261" s="37"/>
      <c r="L261" s="328"/>
      <c r="M261" s="47"/>
      <c r="N261" s="263"/>
      <c r="O261" s="17"/>
      <c r="P261" s="18"/>
    </row>
    <row r="262" spans="1:16" ht="15.75" customHeight="1" x14ac:dyDescent="0.25">
      <c r="A262" s="18"/>
      <c r="B262" s="17"/>
      <c r="C262" s="17"/>
      <c r="D262" s="18"/>
      <c r="E262" s="18"/>
      <c r="F262" s="17"/>
      <c r="G262" s="18"/>
      <c r="H262" s="18"/>
      <c r="I262" s="18"/>
      <c r="J262" s="15"/>
      <c r="K262" s="37"/>
      <c r="L262" s="328"/>
      <c r="M262" s="47"/>
      <c r="N262" s="263"/>
      <c r="O262" s="17"/>
      <c r="P262" s="18"/>
    </row>
    <row r="263" spans="1:16" ht="15.75" customHeight="1" x14ac:dyDescent="0.25">
      <c r="A263" s="18"/>
      <c r="B263" s="17"/>
      <c r="C263" s="17"/>
      <c r="D263" s="18"/>
      <c r="E263" s="18"/>
      <c r="F263" s="17"/>
      <c r="G263" s="18"/>
      <c r="H263" s="18"/>
      <c r="I263" s="18"/>
      <c r="J263" s="15"/>
      <c r="K263" s="37"/>
      <c r="L263" s="328"/>
      <c r="M263" s="47"/>
      <c r="N263" s="263"/>
      <c r="O263" s="17"/>
      <c r="P263" s="18"/>
    </row>
    <row r="264" spans="1:16" ht="15.75" customHeight="1" x14ac:dyDescent="0.25">
      <c r="A264" s="18"/>
      <c r="B264" s="17"/>
      <c r="C264" s="17"/>
      <c r="D264" s="18"/>
      <c r="E264" s="18"/>
      <c r="F264" s="17"/>
      <c r="G264" s="18"/>
      <c r="H264" s="18"/>
      <c r="I264" s="18"/>
      <c r="J264" s="15"/>
      <c r="K264" s="37"/>
      <c r="L264" s="328"/>
      <c r="M264" s="47"/>
      <c r="N264" s="263"/>
      <c r="O264" s="17"/>
      <c r="P264" s="18"/>
    </row>
    <row r="265" spans="1:16" ht="15.75" customHeight="1" x14ac:dyDescent="0.25">
      <c r="A265" s="18"/>
      <c r="B265" s="17"/>
      <c r="C265" s="17"/>
      <c r="D265" s="18"/>
      <c r="E265" s="18"/>
      <c r="F265" s="17"/>
      <c r="G265" s="18"/>
      <c r="H265" s="18"/>
      <c r="I265" s="18"/>
      <c r="J265" s="15"/>
      <c r="K265" s="37"/>
      <c r="L265" s="328"/>
      <c r="M265" s="47"/>
      <c r="N265" s="263"/>
      <c r="O265" s="17"/>
      <c r="P265" s="18"/>
    </row>
    <row r="266" spans="1:16" ht="15.75" customHeight="1" x14ac:dyDescent="0.25">
      <c r="A266" s="18"/>
      <c r="B266" s="17"/>
      <c r="C266" s="17"/>
      <c r="D266" s="18"/>
      <c r="E266" s="18"/>
      <c r="F266" s="17"/>
      <c r="G266" s="18"/>
      <c r="H266" s="18"/>
      <c r="I266" s="18"/>
      <c r="J266" s="15"/>
      <c r="K266" s="37"/>
      <c r="L266" s="328"/>
      <c r="M266" s="47"/>
      <c r="N266" s="263"/>
      <c r="O266" s="17"/>
      <c r="P266" s="18"/>
    </row>
    <row r="267" spans="1:16" ht="15.75" customHeight="1" x14ac:dyDescent="0.25">
      <c r="A267" s="18"/>
      <c r="B267" s="17"/>
      <c r="C267" s="17"/>
      <c r="D267" s="18"/>
      <c r="E267" s="18"/>
      <c r="F267" s="17"/>
      <c r="G267" s="18"/>
      <c r="H267" s="18"/>
      <c r="I267" s="18"/>
      <c r="J267" s="15"/>
      <c r="K267" s="37"/>
      <c r="L267" s="328"/>
      <c r="M267" s="47"/>
      <c r="N267" s="263"/>
      <c r="O267" s="17"/>
      <c r="P267" s="18"/>
    </row>
    <row r="268" spans="1:16" ht="15.75" customHeight="1" x14ac:dyDescent="0.25">
      <c r="A268" s="18"/>
      <c r="B268" s="17"/>
      <c r="C268" s="17"/>
      <c r="D268" s="18"/>
      <c r="E268" s="18"/>
      <c r="F268" s="17"/>
      <c r="G268" s="18"/>
      <c r="H268" s="18"/>
      <c r="I268" s="18"/>
      <c r="J268" s="15"/>
      <c r="K268" s="37"/>
      <c r="L268" s="328"/>
      <c r="M268" s="47"/>
      <c r="N268" s="263"/>
      <c r="O268" s="17"/>
      <c r="P268" s="18"/>
    </row>
    <row r="269" spans="1:16" ht="15.75" customHeight="1" x14ac:dyDescent="0.25">
      <c r="A269" s="18"/>
      <c r="B269" s="17"/>
      <c r="C269" s="17"/>
      <c r="D269" s="18"/>
      <c r="E269" s="18"/>
      <c r="F269" s="17"/>
      <c r="G269" s="18"/>
      <c r="H269" s="18"/>
      <c r="I269" s="18"/>
      <c r="J269" s="15"/>
      <c r="K269" s="37"/>
      <c r="L269" s="328"/>
      <c r="M269" s="47"/>
      <c r="N269" s="263"/>
      <c r="O269" s="17"/>
      <c r="P269" s="18"/>
    </row>
    <row r="270" spans="1:16" ht="15.75" customHeight="1" x14ac:dyDescent="0.25">
      <c r="A270" s="18"/>
      <c r="B270" s="17"/>
      <c r="C270" s="17"/>
      <c r="D270" s="18"/>
      <c r="E270" s="18"/>
      <c r="F270" s="17"/>
      <c r="G270" s="18"/>
      <c r="H270" s="18"/>
      <c r="I270" s="18"/>
      <c r="J270" s="15"/>
      <c r="K270" s="37"/>
      <c r="L270" s="328"/>
      <c r="M270" s="47"/>
      <c r="N270" s="263"/>
      <c r="O270" s="17"/>
      <c r="P270" s="18"/>
    </row>
    <row r="271" spans="1:16" ht="15.75" customHeight="1" x14ac:dyDescent="0.25">
      <c r="A271" s="18"/>
      <c r="B271" s="17"/>
      <c r="C271" s="17"/>
      <c r="D271" s="18"/>
      <c r="E271" s="18"/>
      <c r="F271" s="17"/>
      <c r="G271" s="18"/>
      <c r="H271" s="18"/>
      <c r="I271" s="18"/>
      <c r="J271" s="15"/>
      <c r="K271" s="37"/>
      <c r="L271" s="328"/>
      <c r="M271" s="47"/>
      <c r="N271" s="263"/>
      <c r="O271" s="17"/>
      <c r="P271" s="18"/>
    </row>
    <row r="272" spans="1:16" ht="15.75" customHeight="1" x14ac:dyDescent="0.25">
      <c r="A272" s="18"/>
      <c r="B272" s="17"/>
      <c r="C272" s="17"/>
      <c r="D272" s="18"/>
      <c r="E272" s="18"/>
      <c r="F272" s="17"/>
      <c r="G272" s="18"/>
      <c r="H272" s="18"/>
      <c r="I272" s="18"/>
      <c r="J272" s="15"/>
      <c r="K272" s="37"/>
      <c r="L272" s="328"/>
      <c r="M272" s="47"/>
      <c r="N272" s="263"/>
      <c r="O272" s="17"/>
      <c r="P272" s="18"/>
    </row>
    <row r="273" spans="1:16" ht="15.75" customHeight="1" x14ac:dyDescent="0.25">
      <c r="A273" s="18"/>
      <c r="B273" s="17"/>
      <c r="C273" s="17"/>
      <c r="D273" s="18"/>
      <c r="E273" s="18"/>
      <c r="F273" s="17"/>
      <c r="G273" s="18"/>
      <c r="H273" s="18"/>
      <c r="I273" s="18"/>
      <c r="J273" s="15"/>
      <c r="K273" s="37"/>
      <c r="L273" s="328"/>
      <c r="M273" s="47"/>
      <c r="N273" s="263"/>
      <c r="O273" s="17"/>
      <c r="P273" s="18"/>
    </row>
    <row r="274" spans="1:16" ht="15.75" customHeight="1" x14ac:dyDescent="0.25">
      <c r="A274" s="18"/>
      <c r="B274" s="17"/>
      <c r="C274" s="17"/>
      <c r="D274" s="18"/>
      <c r="E274" s="18"/>
      <c r="F274" s="17"/>
      <c r="G274" s="18"/>
      <c r="H274" s="18"/>
      <c r="I274" s="18"/>
      <c r="J274" s="15"/>
      <c r="K274" s="37"/>
      <c r="L274" s="328"/>
      <c r="M274" s="47"/>
      <c r="N274" s="263"/>
      <c r="O274" s="17"/>
      <c r="P274" s="18"/>
    </row>
    <row r="275" spans="1:16" ht="15.75" customHeight="1" x14ac:dyDescent="0.25">
      <c r="A275" s="18"/>
      <c r="B275" s="17"/>
      <c r="C275" s="17"/>
      <c r="D275" s="18"/>
      <c r="E275" s="18"/>
      <c r="F275" s="17"/>
      <c r="G275" s="18"/>
      <c r="H275" s="18"/>
      <c r="I275" s="18"/>
      <c r="J275" s="15"/>
      <c r="K275" s="37"/>
      <c r="L275" s="328"/>
      <c r="M275" s="47"/>
      <c r="N275" s="263"/>
      <c r="O275" s="17"/>
      <c r="P275" s="18"/>
    </row>
    <row r="276" spans="1:16" ht="15.75" customHeight="1" x14ac:dyDescent="0.25">
      <c r="A276" s="18"/>
      <c r="B276" s="17"/>
      <c r="C276" s="17"/>
      <c r="D276" s="18"/>
      <c r="E276" s="18"/>
      <c r="F276" s="17"/>
      <c r="G276" s="18"/>
      <c r="H276" s="18"/>
      <c r="I276" s="18"/>
      <c r="J276" s="15"/>
      <c r="K276" s="37"/>
      <c r="L276" s="328"/>
      <c r="M276" s="47"/>
      <c r="N276" s="263"/>
      <c r="O276" s="17"/>
      <c r="P276" s="18"/>
    </row>
    <row r="277" spans="1:16" ht="15.75" customHeight="1" x14ac:dyDescent="0.25">
      <c r="A277" s="18"/>
      <c r="B277" s="17"/>
      <c r="C277" s="17"/>
      <c r="D277" s="18"/>
      <c r="E277" s="18"/>
      <c r="F277" s="17"/>
      <c r="G277" s="18"/>
      <c r="H277" s="18"/>
      <c r="I277" s="18"/>
      <c r="J277" s="15"/>
      <c r="K277" s="37"/>
      <c r="L277" s="328"/>
      <c r="M277" s="47"/>
      <c r="N277" s="263"/>
      <c r="O277" s="17"/>
      <c r="P277" s="18"/>
    </row>
    <row r="278" spans="1:16" ht="15.75" customHeight="1" x14ac:dyDescent="0.25">
      <c r="A278" s="18"/>
      <c r="B278" s="17"/>
      <c r="C278" s="17"/>
      <c r="D278" s="18"/>
      <c r="E278" s="18"/>
      <c r="F278" s="17"/>
      <c r="G278" s="18"/>
      <c r="H278" s="18"/>
      <c r="I278" s="18"/>
      <c r="J278" s="15"/>
      <c r="K278" s="37"/>
      <c r="L278" s="328"/>
      <c r="M278" s="47"/>
      <c r="N278" s="263"/>
      <c r="O278" s="17"/>
      <c r="P278" s="18"/>
    </row>
    <row r="279" spans="1:16" ht="15.75" customHeight="1" x14ac:dyDescent="0.25">
      <c r="A279" s="18"/>
      <c r="B279" s="17"/>
      <c r="C279" s="17"/>
      <c r="D279" s="18"/>
      <c r="E279" s="18"/>
      <c r="F279" s="17"/>
      <c r="G279" s="18"/>
      <c r="H279" s="18"/>
      <c r="I279" s="18"/>
      <c r="J279" s="15"/>
      <c r="K279" s="37"/>
      <c r="L279" s="328"/>
      <c r="M279" s="47"/>
      <c r="N279" s="263"/>
      <c r="O279" s="17"/>
      <c r="P279" s="18"/>
    </row>
    <row r="280" spans="1:16" ht="15.75" customHeight="1" x14ac:dyDescent="0.25">
      <c r="A280" s="18"/>
      <c r="B280" s="17"/>
      <c r="C280" s="17"/>
      <c r="D280" s="18"/>
      <c r="E280" s="18"/>
      <c r="F280" s="17"/>
      <c r="G280" s="18"/>
      <c r="H280" s="18"/>
      <c r="I280" s="18"/>
      <c r="J280" s="15"/>
      <c r="K280" s="37"/>
      <c r="L280" s="328"/>
      <c r="M280" s="47"/>
      <c r="N280" s="263"/>
      <c r="O280" s="17"/>
      <c r="P280" s="18"/>
    </row>
    <row r="281" spans="1:16" ht="15.75" customHeight="1" x14ac:dyDescent="0.25">
      <c r="A281" s="18"/>
      <c r="B281" s="17"/>
      <c r="C281" s="17"/>
      <c r="D281" s="18"/>
      <c r="E281" s="18"/>
      <c r="F281" s="17"/>
      <c r="G281" s="18"/>
      <c r="H281" s="18"/>
      <c r="I281" s="18"/>
      <c r="J281" s="15"/>
      <c r="K281" s="37"/>
      <c r="L281" s="328"/>
      <c r="M281" s="47"/>
      <c r="N281" s="263"/>
      <c r="O281" s="17"/>
      <c r="P281" s="18"/>
    </row>
    <row r="282" spans="1:16" ht="15.75" customHeight="1" x14ac:dyDescent="0.25">
      <c r="A282" s="18"/>
      <c r="B282" s="17"/>
      <c r="C282" s="17"/>
      <c r="D282" s="18"/>
      <c r="E282" s="18"/>
      <c r="F282" s="17"/>
      <c r="G282" s="18"/>
      <c r="H282" s="18"/>
      <c r="I282" s="18"/>
      <c r="J282" s="15"/>
      <c r="K282" s="37"/>
      <c r="L282" s="328"/>
      <c r="M282" s="47"/>
      <c r="N282" s="263"/>
      <c r="O282" s="17"/>
      <c r="P282" s="18"/>
    </row>
    <row r="283" spans="1:16" ht="15.75" customHeight="1" x14ac:dyDescent="0.25">
      <c r="A283" s="18"/>
      <c r="B283" s="17"/>
      <c r="C283" s="17"/>
      <c r="D283" s="18"/>
      <c r="E283" s="18"/>
      <c r="F283" s="17"/>
      <c r="G283" s="18"/>
      <c r="H283" s="18"/>
      <c r="I283" s="18"/>
      <c r="J283" s="15"/>
      <c r="K283" s="37"/>
      <c r="L283" s="328"/>
      <c r="M283" s="47"/>
      <c r="N283" s="263"/>
      <c r="O283" s="17"/>
      <c r="P283" s="18"/>
    </row>
    <row r="284" spans="1:16" ht="15.75" customHeight="1" x14ac:dyDescent="0.25">
      <c r="A284" s="18"/>
      <c r="B284" s="17"/>
      <c r="C284" s="17"/>
      <c r="D284" s="18"/>
      <c r="E284" s="18"/>
      <c r="F284" s="17"/>
      <c r="G284" s="18"/>
      <c r="H284" s="18"/>
      <c r="I284" s="18"/>
      <c r="J284" s="15"/>
      <c r="K284" s="37"/>
      <c r="L284" s="328"/>
      <c r="M284" s="47"/>
      <c r="N284" s="263"/>
      <c r="O284" s="17"/>
      <c r="P284" s="18"/>
    </row>
    <row r="285" spans="1:16" ht="15.75" customHeight="1" x14ac:dyDescent="0.25">
      <c r="A285" s="18"/>
      <c r="B285" s="17"/>
      <c r="C285" s="17"/>
      <c r="D285" s="18"/>
      <c r="E285" s="18"/>
      <c r="F285" s="17"/>
      <c r="G285" s="18"/>
      <c r="H285" s="18"/>
      <c r="I285" s="18"/>
      <c r="J285" s="15"/>
      <c r="K285" s="37"/>
      <c r="L285" s="328"/>
      <c r="M285" s="47"/>
      <c r="N285" s="263"/>
      <c r="O285" s="17"/>
      <c r="P285" s="18"/>
    </row>
    <row r="286" spans="1:16" ht="15.75" customHeight="1" x14ac:dyDescent="0.25">
      <c r="A286" s="18"/>
      <c r="B286" s="17"/>
      <c r="C286" s="17"/>
      <c r="D286" s="18"/>
      <c r="E286" s="18"/>
      <c r="F286" s="17"/>
      <c r="G286" s="18"/>
      <c r="H286" s="18"/>
      <c r="I286" s="18"/>
      <c r="J286" s="15"/>
      <c r="K286" s="37"/>
      <c r="L286" s="328"/>
      <c r="M286" s="47"/>
      <c r="N286" s="263"/>
      <c r="O286" s="17"/>
      <c r="P286" s="18"/>
    </row>
    <row r="287" spans="1:16" ht="15.75" customHeight="1" x14ac:dyDescent="0.25">
      <c r="A287" s="18"/>
      <c r="B287" s="17"/>
      <c r="C287" s="17"/>
      <c r="D287" s="18"/>
      <c r="E287" s="18"/>
      <c r="F287" s="17"/>
      <c r="G287" s="18"/>
      <c r="H287" s="18"/>
      <c r="I287" s="18"/>
      <c r="J287" s="15"/>
      <c r="K287" s="37"/>
      <c r="L287" s="328"/>
      <c r="M287" s="47"/>
      <c r="N287" s="263"/>
      <c r="O287" s="17"/>
      <c r="P287" s="18"/>
    </row>
    <row r="288" spans="1:16" ht="15.75" customHeight="1" x14ac:dyDescent="0.25">
      <c r="A288" s="18"/>
      <c r="B288" s="17"/>
      <c r="C288" s="17"/>
      <c r="D288" s="18"/>
      <c r="E288" s="18"/>
      <c r="F288" s="17"/>
      <c r="G288" s="18"/>
      <c r="H288" s="18"/>
      <c r="I288" s="18"/>
      <c r="J288" s="15"/>
      <c r="K288" s="37"/>
      <c r="L288" s="328"/>
      <c r="M288" s="47"/>
      <c r="N288" s="263"/>
      <c r="O288" s="17"/>
      <c r="P288" s="18"/>
    </row>
    <row r="289" spans="1:16" ht="15.75" customHeight="1" x14ac:dyDescent="0.25">
      <c r="A289" s="18"/>
      <c r="B289" s="17"/>
      <c r="C289" s="17"/>
      <c r="D289" s="18"/>
      <c r="E289" s="18"/>
      <c r="F289" s="17"/>
      <c r="G289" s="18"/>
      <c r="H289" s="18"/>
      <c r="I289" s="18"/>
      <c r="J289" s="15"/>
      <c r="K289" s="37"/>
      <c r="L289" s="328"/>
      <c r="M289" s="47"/>
      <c r="N289" s="263"/>
      <c r="O289" s="17"/>
      <c r="P289" s="18"/>
    </row>
    <row r="290" spans="1:16" ht="15.75" customHeight="1" x14ac:dyDescent="0.25">
      <c r="A290" s="18"/>
      <c r="B290" s="17"/>
      <c r="C290" s="17"/>
      <c r="D290" s="18"/>
      <c r="E290" s="18"/>
      <c r="F290" s="17"/>
      <c r="G290" s="18"/>
      <c r="H290" s="18"/>
      <c r="I290" s="18"/>
      <c r="J290" s="15"/>
      <c r="K290" s="37"/>
      <c r="L290" s="328"/>
      <c r="M290" s="47"/>
      <c r="N290" s="263"/>
      <c r="O290" s="17"/>
      <c r="P290" s="18"/>
    </row>
    <row r="291" spans="1:16" ht="15.75" customHeight="1" x14ac:dyDescent="0.25">
      <c r="A291" s="18"/>
      <c r="B291" s="17"/>
      <c r="C291" s="17"/>
      <c r="D291" s="18"/>
      <c r="E291" s="18"/>
      <c r="F291" s="17"/>
      <c r="G291" s="18"/>
      <c r="H291" s="18"/>
      <c r="I291" s="18"/>
      <c r="J291" s="15"/>
      <c r="K291" s="37"/>
      <c r="L291" s="328"/>
      <c r="M291" s="47"/>
      <c r="N291" s="263"/>
      <c r="O291" s="17"/>
      <c r="P291" s="18"/>
    </row>
    <row r="292" spans="1:16" ht="15.75" customHeight="1" x14ac:dyDescent="0.25">
      <c r="A292" s="18"/>
      <c r="B292" s="17"/>
      <c r="C292" s="17"/>
      <c r="D292" s="18"/>
      <c r="E292" s="18"/>
      <c r="F292" s="17"/>
      <c r="G292" s="18"/>
      <c r="H292" s="18"/>
      <c r="I292" s="18"/>
      <c r="J292" s="15"/>
      <c r="K292" s="37"/>
      <c r="L292" s="328"/>
      <c r="M292" s="47"/>
      <c r="N292" s="263"/>
      <c r="O292" s="17"/>
      <c r="P292" s="18"/>
    </row>
    <row r="293" spans="1:16" ht="15.75" customHeight="1" x14ac:dyDescent="0.25">
      <c r="A293" s="18"/>
      <c r="B293" s="17"/>
      <c r="C293" s="17"/>
      <c r="D293" s="18"/>
      <c r="E293" s="18"/>
      <c r="F293" s="17"/>
      <c r="G293" s="18"/>
      <c r="H293" s="18"/>
      <c r="I293" s="18"/>
      <c r="J293" s="15"/>
      <c r="K293" s="37"/>
      <c r="L293" s="328"/>
      <c r="M293" s="47"/>
      <c r="N293" s="263"/>
      <c r="O293" s="17"/>
      <c r="P293" s="18"/>
    </row>
    <row r="294" spans="1:16" ht="15.75" customHeight="1" x14ac:dyDescent="0.25">
      <c r="A294" s="18"/>
      <c r="B294" s="17"/>
      <c r="C294" s="17"/>
      <c r="D294" s="18"/>
      <c r="E294" s="18"/>
      <c r="F294" s="17"/>
      <c r="G294" s="18"/>
      <c r="H294" s="18"/>
      <c r="I294" s="18"/>
      <c r="J294" s="15"/>
      <c r="K294" s="37"/>
      <c r="L294" s="328"/>
      <c r="M294" s="47"/>
      <c r="N294" s="263"/>
      <c r="O294" s="17"/>
      <c r="P294" s="18"/>
    </row>
    <row r="295" spans="1:16" ht="15.75" customHeight="1" x14ac:dyDescent="0.25">
      <c r="A295" s="18"/>
      <c r="B295" s="17"/>
      <c r="C295" s="17"/>
      <c r="D295" s="18"/>
      <c r="E295" s="18"/>
      <c r="F295" s="17"/>
      <c r="G295" s="18"/>
      <c r="H295" s="18"/>
      <c r="I295" s="18"/>
      <c r="J295" s="15"/>
      <c r="K295" s="37"/>
      <c r="L295" s="328"/>
      <c r="M295" s="47"/>
      <c r="N295" s="263"/>
      <c r="O295" s="17"/>
      <c r="P295" s="18"/>
    </row>
    <row r="296" spans="1:16" ht="15.75" customHeight="1" x14ac:dyDescent="0.25">
      <c r="A296" s="18"/>
      <c r="B296" s="17"/>
      <c r="C296" s="17"/>
      <c r="D296" s="18"/>
      <c r="E296" s="18"/>
      <c r="F296" s="17"/>
      <c r="G296" s="18"/>
      <c r="H296" s="18"/>
      <c r="I296" s="18"/>
      <c r="J296" s="15"/>
      <c r="K296" s="37"/>
      <c r="L296" s="328"/>
      <c r="M296" s="47"/>
      <c r="N296" s="263"/>
      <c r="O296" s="17"/>
      <c r="P296" s="18"/>
    </row>
    <row r="297" spans="1:16" ht="15.75" customHeight="1" x14ac:dyDescent="0.25">
      <c r="A297" s="18"/>
      <c r="B297" s="17"/>
      <c r="C297" s="17"/>
      <c r="D297" s="18"/>
      <c r="E297" s="18"/>
      <c r="F297" s="17"/>
      <c r="G297" s="18"/>
      <c r="H297" s="18"/>
      <c r="I297" s="18"/>
      <c r="J297" s="15"/>
      <c r="K297" s="37"/>
      <c r="L297" s="328"/>
      <c r="M297" s="47"/>
      <c r="N297" s="263"/>
      <c r="O297" s="17"/>
      <c r="P297" s="18"/>
    </row>
    <row r="298" spans="1:16" ht="15.75" customHeight="1" x14ac:dyDescent="0.25">
      <c r="A298" s="18"/>
      <c r="B298" s="17"/>
      <c r="C298" s="17"/>
      <c r="D298" s="18"/>
      <c r="E298" s="18"/>
      <c r="F298" s="17"/>
      <c r="G298" s="18"/>
      <c r="H298" s="18"/>
      <c r="I298" s="18"/>
      <c r="J298" s="15"/>
      <c r="K298" s="37"/>
      <c r="L298" s="328"/>
      <c r="M298" s="47"/>
      <c r="N298" s="263"/>
      <c r="O298" s="17"/>
      <c r="P298" s="18"/>
    </row>
    <row r="299" spans="1:16" ht="15.75" customHeight="1" x14ac:dyDescent="0.25">
      <c r="A299" s="18"/>
      <c r="B299" s="17"/>
      <c r="C299" s="17"/>
      <c r="D299" s="18"/>
      <c r="E299" s="18"/>
      <c r="F299" s="17"/>
      <c r="G299" s="18"/>
      <c r="H299" s="18"/>
      <c r="I299" s="18"/>
      <c r="J299" s="15"/>
      <c r="K299" s="37"/>
      <c r="L299" s="328"/>
      <c r="M299" s="47"/>
      <c r="N299" s="263"/>
      <c r="O299" s="17"/>
      <c r="P299" s="18"/>
    </row>
    <row r="300" spans="1:16" ht="15.75" customHeight="1" x14ac:dyDescent="0.25">
      <c r="A300" s="18"/>
      <c r="B300" s="17"/>
      <c r="C300" s="17"/>
      <c r="D300" s="18"/>
      <c r="E300" s="18"/>
      <c r="F300" s="17"/>
      <c r="G300" s="18"/>
      <c r="H300" s="18"/>
      <c r="I300" s="18"/>
      <c r="J300" s="15"/>
      <c r="K300" s="37"/>
      <c r="L300" s="328"/>
      <c r="M300" s="47"/>
      <c r="N300" s="263"/>
      <c r="O300" s="17"/>
      <c r="P300" s="18"/>
    </row>
    <row r="301" spans="1:16" ht="15.75" customHeight="1" x14ac:dyDescent="0.25">
      <c r="A301" s="18"/>
      <c r="B301" s="17"/>
      <c r="C301" s="17"/>
      <c r="D301" s="18"/>
      <c r="E301" s="18"/>
      <c r="F301" s="17"/>
      <c r="G301" s="18"/>
      <c r="H301" s="18"/>
      <c r="I301" s="18"/>
      <c r="J301" s="15"/>
      <c r="K301" s="37"/>
      <c r="L301" s="328"/>
      <c r="M301" s="47"/>
      <c r="N301" s="263"/>
      <c r="O301" s="17"/>
      <c r="P301" s="18"/>
    </row>
    <row r="302" spans="1:16" ht="15.75" customHeight="1" x14ac:dyDescent="0.25">
      <c r="A302" s="18"/>
      <c r="B302" s="17"/>
      <c r="C302" s="17"/>
      <c r="D302" s="18"/>
      <c r="E302" s="18"/>
      <c r="F302" s="17"/>
      <c r="G302" s="18"/>
      <c r="H302" s="18"/>
      <c r="I302" s="18"/>
      <c r="J302" s="15"/>
      <c r="K302" s="37"/>
      <c r="L302" s="328"/>
      <c r="M302" s="47"/>
      <c r="N302" s="263"/>
      <c r="O302" s="17"/>
      <c r="P302" s="18"/>
    </row>
    <row r="303" spans="1:16" ht="15.75" customHeight="1" x14ac:dyDescent="0.25">
      <c r="A303" s="18"/>
      <c r="B303" s="17"/>
      <c r="C303" s="17"/>
      <c r="D303" s="18"/>
      <c r="E303" s="18"/>
      <c r="F303" s="17"/>
      <c r="G303" s="18"/>
      <c r="H303" s="18"/>
      <c r="I303" s="18"/>
      <c r="J303" s="15"/>
      <c r="K303" s="37"/>
      <c r="L303" s="328"/>
      <c r="M303" s="47"/>
      <c r="N303" s="263"/>
      <c r="O303" s="17"/>
      <c r="P303" s="18"/>
    </row>
    <row r="304" spans="1:16" ht="15.75" customHeight="1" x14ac:dyDescent="0.25">
      <c r="A304" s="18"/>
      <c r="B304" s="17"/>
      <c r="C304" s="17"/>
      <c r="D304" s="18"/>
      <c r="E304" s="18"/>
      <c r="F304" s="17"/>
      <c r="G304" s="18"/>
      <c r="H304" s="18"/>
      <c r="I304" s="18"/>
      <c r="J304" s="15"/>
      <c r="K304" s="37"/>
      <c r="L304" s="328"/>
      <c r="M304" s="47"/>
      <c r="N304" s="263"/>
      <c r="O304" s="17"/>
      <c r="P304" s="18"/>
    </row>
    <row r="305" spans="1:16" ht="15.75" customHeight="1" x14ac:dyDescent="0.25">
      <c r="A305" s="18"/>
      <c r="B305" s="17"/>
      <c r="C305" s="17"/>
      <c r="D305" s="18"/>
      <c r="E305" s="18"/>
      <c r="F305" s="17"/>
      <c r="G305" s="18"/>
      <c r="H305" s="18"/>
      <c r="I305" s="18"/>
      <c r="J305" s="15"/>
      <c r="K305" s="37"/>
      <c r="L305" s="328"/>
      <c r="M305" s="47"/>
      <c r="N305" s="263"/>
      <c r="O305" s="17"/>
      <c r="P305" s="18"/>
    </row>
    <row r="306" spans="1:16" ht="15.75" customHeight="1" x14ac:dyDescent="0.25">
      <c r="A306" s="18"/>
      <c r="B306" s="17"/>
      <c r="C306" s="17"/>
      <c r="D306" s="18"/>
      <c r="E306" s="18"/>
      <c r="F306" s="17"/>
      <c r="G306" s="18"/>
      <c r="H306" s="18"/>
      <c r="I306" s="18"/>
      <c r="J306" s="15"/>
      <c r="K306" s="37"/>
      <c r="L306" s="328"/>
      <c r="M306" s="47"/>
      <c r="N306" s="263"/>
      <c r="O306" s="17"/>
      <c r="P306" s="18"/>
    </row>
    <row r="307" spans="1:16" ht="15.75" customHeight="1" x14ac:dyDescent="0.25">
      <c r="A307" s="18"/>
      <c r="B307" s="17"/>
      <c r="C307" s="17"/>
      <c r="D307" s="18"/>
      <c r="E307" s="18"/>
      <c r="F307" s="17"/>
      <c r="G307" s="18"/>
      <c r="H307" s="18"/>
      <c r="I307" s="18"/>
      <c r="J307" s="15"/>
      <c r="K307" s="37"/>
      <c r="L307" s="328"/>
      <c r="M307" s="47"/>
      <c r="N307" s="263"/>
      <c r="O307" s="17"/>
      <c r="P307" s="18"/>
    </row>
    <row r="308" spans="1:16" ht="15.75" customHeight="1" x14ac:dyDescent="0.25">
      <c r="A308" s="18"/>
      <c r="B308" s="17"/>
      <c r="C308" s="17"/>
      <c r="D308" s="18"/>
      <c r="E308" s="18"/>
      <c r="F308" s="17"/>
      <c r="G308" s="18"/>
      <c r="H308" s="18"/>
      <c r="I308" s="18"/>
      <c r="J308" s="15"/>
      <c r="K308" s="37"/>
      <c r="L308" s="328"/>
      <c r="M308" s="47"/>
      <c r="N308" s="263"/>
      <c r="O308" s="17"/>
      <c r="P308" s="18"/>
    </row>
    <row r="309" spans="1:16" ht="15.75" customHeight="1" x14ac:dyDescent="0.25">
      <c r="A309" s="18"/>
      <c r="B309" s="17"/>
      <c r="C309" s="17"/>
      <c r="D309" s="18"/>
      <c r="E309" s="18"/>
      <c r="F309" s="17"/>
      <c r="G309" s="18"/>
      <c r="H309" s="18"/>
      <c r="I309" s="18"/>
      <c r="J309" s="15"/>
      <c r="K309" s="37"/>
      <c r="L309" s="328"/>
      <c r="M309" s="47"/>
      <c r="N309" s="263"/>
      <c r="O309" s="17"/>
      <c r="P309" s="18"/>
    </row>
    <row r="310" spans="1:16" ht="15.75" customHeight="1" x14ac:dyDescent="0.25">
      <c r="A310" s="18"/>
      <c r="B310" s="17"/>
      <c r="C310" s="17"/>
      <c r="D310" s="18"/>
      <c r="E310" s="18"/>
      <c r="F310" s="17"/>
      <c r="G310" s="18"/>
      <c r="H310" s="18"/>
      <c r="I310" s="18"/>
      <c r="J310" s="15"/>
      <c r="K310" s="37"/>
      <c r="L310" s="328"/>
      <c r="M310" s="47"/>
      <c r="N310" s="263"/>
      <c r="O310" s="17"/>
      <c r="P310" s="18"/>
    </row>
    <row r="311" spans="1:16" ht="15.75" customHeight="1" x14ac:dyDescent="0.25">
      <c r="A311" s="18"/>
      <c r="B311" s="17"/>
      <c r="C311" s="17"/>
      <c r="D311" s="18"/>
      <c r="E311" s="18"/>
      <c r="F311" s="17"/>
      <c r="G311" s="18"/>
      <c r="H311" s="18"/>
      <c r="I311" s="18"/>
      <c r="J311" s="15"/>
      <c r="K311" s="37"/>
      <c r="L311" s="328"/>
      <c r="M311" s="47"/>
      <c r="N311" s="263"/>
      <c r="O311" s="17"/>
      <c r="P311" s="18"/>
    </row>
    <row r="312" spans="1:16" ht="15.75" customHeight="1" x14ac:dyDescent="0.25">
      <c r="A312" s="18"/>
      <c r="B312" s="17"/>
      <c r="C312" s="17"/>
      <c r="D312" s="18"/>
      <c r="E312" s="18"/>
      <c r="F312" s="17"/>
      <c r="G312" s="18"/>
      <c r="H312" s="18"/>
      <c r="I312" s="18"/>
      <c r="J312" s="15"/>
      <c r="K312" s="37"/>
      <c r="L312" s="328"/>
      <c r="M312" s="47"/>
      <c r="N312" s="263"/>
      <c r="O312" s="17"/>
      <c r="P312" s="18"/>
    </row>
    <row r="313" spans="1:16" ht="15.75" customHeight="1" x14ac:dyDescent="0.25">
      <c r="A313" s="18"/>
      <c r="B313" s="17"/>
      <c r="C313" s="17"/>
      <c r="D313" s="18"/>
      <c r="E313" s="18"/>
      <c r="F313" s="17"/>
      <c r="G313" s="18"/>
      <c r="H313" s="18"/>
      <c r="I313" s="18"/>
      <c r="J313" s="15"/>
      <c r="K313" s="37"/>
      <c r="L313" s="328"/>
      <c r="M313" s="47"/>
      <c r="N313" s="263"/>
      <c r="O313" s="17"/>
      <c r="P313" s="18"/>
    </row>
    <row r="314" spans="1:16" ht="15.75" customHeight="1" x14ac:dyDescent="0.25">
      <c r="A314" s="18"/>
      <c r="B314" s="17"/>
      <c r="C314" s="17"/>
      <c r="D314" s="18"/>
      <c r="E314" s="18"/>
      <c r="F314" s="17"/>
      <c r="G314" s="18"/>
      <c r="H314" s="18"/>
      <c r="I314" s="18"/>
      <c r="J314" s="15"/>
      <c r="K314" s="37"/>
      <c r="L314" s="328"/>
      <c r="M314" s="47"/>
      <c r="N314" s="263"/>
      <c r="O314" s="17"/>
      <c r="P314" s="18"/>
    </row>
    <row r="315" spans="1:16" ht="15.75" customHeight="1" x14ac:dyDescent="0.25">
      <c r="A315" s="18"/>
      <c r="B315" s="17"/>
      <c r="C315" s="17"/>
      <c r="D315" s="18"/>
      <c r="E315" s="18"/>
      <c r="F315" s="17"/>
      <c r="G315" s="18"/>
      <c r="H315" s="18"/>
      <c r="I315" s="18"/>
      <c r="J315" s="15"/>
      <c r="K315" s="37"/>
      <c r="L315" s="328"/>
      <c r="M315" s="47"/>
      <c r="N315" s="263"/>
      <c r="O315" s="17"/>
      <c r="P315" s="18"/>
    </row>
    <row r="316" spans="1:16" ht="15.75" customHeight="1" x14ac:dyDescent="0.25">
      <c r="A316" s="18"/>
      <c r="B316" s="17"/>
      <c r="C316" s="17"/>
      <c r="D316" s="18"/>
      <c r="E316" s="18"/>
      <c r="F316" s="17"/>
      <c r="G316" s="18"/>
      <c r="H316" s="18"/>
      <c r="I316" s="18"/>
      <c r="J316" s="15"/>
      <c r="K316" s="37"/>
      <c r="L316" s="328"/>
      <c r="M316" s="47"/>
      <c r="N316" s="263"/>
      <c r="O316" s="17"/>
      <c r="P316" s="18"/>
    </row>
    <row r="317" spans="1:16" ht="15.75" customHeight="1" x14ac:dyDescent="0.25">
      <c r="A317" s="18"/>
      <c r="B317" s="17"/>
      <c r="C317" s="17"/>
      <c r="D317" s="18"/>
      <c r="E317" s="18"/>
      <c r="F317" s="17"/>
      <c r="G317" s="18"/>
      <c r="H317" s="18"/>
      <c r="I317" s="18"/>
      <c r="J317" s="15"/>
      <c r="K317" s="37"/>
      <c r="L317" s="328"/>
      <c r="M317" s="47"/>
      <c r="N317" s="263"/>
      <c r="O317" s="17"/>
      <c r="P317" s="18"/>
    </row>
    <row r="318" spans="1:16" ht="15.75" customHeight="1" x14ac:dyDescent="0.25">
      <c r="A318" s="18"/>
      <c r="B318" s="17"/>
      <c r="C318" s="17"/>
      <c r="D318" s="18"/>
      <c r="E318" s="18"/>
      <c r="F318" s="17"/>
      <c r="G318" s="18"/>
      <c r="H318" s="18"/>
      <c r="I318" s="18"/>
      <c r="J318" s="15"/>
      <c r="K318" s="37"/>
      <c r="L318" s="328"/>
      <c r="M318" s="47"/>
      <c r="N318" s="263"/>
      <c r="O318" s="17"/>
      <c r="P318" s="18"/>
    </row>
    <row r="319" spans="1:16" ht="15.75" customHeight="1" x14ac:dyDescent="0.25">
      <c r="A319" s="18"/>
      <c r="B319" s="17"/>
      <c r="C319" s="17"/>
      <c r="D319" s="18"/>
      <c r="E319" s="18"/>
      <c r="F319" s="17"/>
      <c r="G319" s="18"/>
      <c r="H319" s="18"/>
      <c r="I319" s="18"/>
      <c r="J319" s="15"/>
      <c r="K319" s="37"/>
      <c r="L319" s="328"/>
      <c r="M319" s="47"/>
      <c r="N319" s="263"/>
      <c r="O319" s="17"/>
      <c r="P319" s="18"/>
    </row>
    <row r="320" spans="1:16" ht="15.75" customHeight="1" x14ac:dyDescent="0.25">
      <c r="A320" s="18"/>
      <c r="B320" s="17"/>
      <c r="C320" s="17"/>
      <c r="D320" s="18"/>
      <c r="E320" s="18"/>
      <c r="F320" s="17"/>
      <c r="G320" s="18"/>
      <c r="H320" s="18"/>
      <c r="I320" s="18"/>
      <c r="J320" s="15"/>
      <c r="K320" s="37"/>
      <c r="L320" s="328"/>
      <c r="M320" s="47"/>
      <c r="N320" s="263"/>
      <c r="O320" s="17"/>
      <c r="P320" s="18"/>
    </row>
    <row r="321" spans="1:16" ht="15.75" customHeight="1" x14ac:dyDescent="0.25">
      <c r="A321" s="18"/>
      <c r="B321" s="17"/>
      <c r="C321" s="17"/>
      <c r="D321" s="18"/>
      <c r="E321" s="18"/>
      <c r="F321" s="17"/>
      <c r="G321" s="18"/>
      <c r="H321" s="18"/>
      <c r="I321" s="18"/>
      <c r="J321" s="15"/>
      <c r="K321" s="37"/>
      <c r="L321" s="328"/>
      <c r="M321" s="47"/>
      <c r="N321" s="263"/>
      <c r="O321" s="17"/>
      <c r="P321" s="18"/>
    </row>
    <row r="322" spans="1:16" ht="15.75" customHeight="1" x14ac:dyDescent="0.25">
      <c r="A322" s="18"/>
      <c r="B322" s="17"/>
      <c r="C322" s="17"/>
      <c r="D322" s="18"/>
      <c r="E322" s="18"/>
      <c r="F322" s="17"/>
      <c r="G322" s="18"/>
      <c r="H322" s="18"/>
      <c r="I322" s="18"/>
      <c r="J322" s="15"/>
      <c r="K322" s="37"/>
      <c r="L322" s="328"/>
      <c r="M322" s="47"/>
      <c r="N322" s="263"/>
      <c r="O322" s="17"/>
      <c r="P322" s="18"/>
    </row>
    <row r="323" spans="1:16" ht="15.75" customHeight="1" x14ac:dyDescent="0.25">
      <c r="A323" s="18"/>
      <c r="B323" s="17"/>
      <c r="C323" s="17"/>
      <c r="D323" s="18"/>
      <c r="E323" s="18"/>
      <c r="F323" s="17"/>
      <c r="G323" s="18"/>
      <c r="H323" s="18"/>
      <c r="I323" s="18"/>
      <c r="J323" s="15"/>
      <c r="K323" s="37"/>
      <c r="L323" s="328"/>
      <c r="M323" s="47"/>
      <c r="N323" s="263"/>
      <c r="O323" s="17"/>
      <c r="P323" s="18"/>
    </row>
    <row r="324" spans="1:16" ht="15.75" customHeight="1" x14ac:dyDescent="0.25">
      <c r="A324" s="18"/>
      <c r="B324" s="17"/>
      <c r="C324" s="17"/>
      <c r="D324" s="18"/>
      <c r="E324" s="18"/>
      <c r="F324" s="17"/>
      <c r="G324" s="18"/>
      <c r="H324" s="18"/>
      <c r="I324" s="18"/>
      <c r="J324" s="15"/>
      <c r="K324" s="37"/>
      <c r="L324" s="328"/>
      <c r="M324" s="47"/>
      <c r="N324" s="263"/>
      <c r="O324" s="17"/>
      <c r="P324" s="18"/>
    </row>
    <row r="325" spans="1:16" ht="15.75" customHeight="1" x14ac:dyDescent="0.25">
      <c r="A325" s="18"/>
      <c r="B325" s="17"/>
      <c r="C325" s="17"/>
      <c r="D325" s="18"/>
      <c r="E325" s="18"/>
      <c r="F325" s="17"/>
      <c r="G325" s="18"/>
      <c r="H325" s="18"/>
      <c r="I325" s="18"/>
      <c r="J325" s="15"/>
      <c r="K325" s="37"/>
      <c r="L325" s="328"/>
      <c r="M325" s="47"/>
      <c r="N325" s="263"/>
      <c r="O325" s="17"/>
      <c r="P325" s="18"/>
    </row>
    <row r="326" spans="1:16" ht="15.75" customHeight="1" x14ac:dyDescent="0.25">
      <c r="A326" s="18"/>
      <c r="B326" s="17"/>
      <c r="C326" s="17"/>
      <c r="D326" s="18"/>
      <c r="E326" s="18"/>
      <c r="F326" s="17"/>
      <c r="G326" s="18"/>
      <c r="H326" s="18"/>
      <c r="I326" s="18"/>
      <c r="J326" s="15"/>
      <c r="K326" s="37"/>
      <c r="L326" s="328"/>
      <c r="M326" s="47"/>
      <c r="N326" s="263"/>
      <c r="O326" s="17"/>
      <c r="P326" s="18"/>
    </row>
    <row r="327" spans="1:16" ht="15.75" customHeight="1" x14ac:dyDescent="0.25">
      <c r="A327" s="18"/>
      <c r="B327" s="17"/>
      <c r="C327" s="17"/>
      <c r="D327" s="18"/>
      <c r="E327" s="18"/>
      <c r="F327" s="17"/>
      <c r="G327" s="18"/>
      <c r="H327" s="18"/>
      <c r="I327" s="18"/>
      <c r="J327" s="15"/>
      <c r="K327" s="37"/>
      <c r="L327" s="328"/>
      <c r="M327" s="47"/>
      <c r="N327" s="263"/>
      <c r="O327" s="17"/>
      <c r="P327" s="18"/>
    </row>
    <row r="328" spans="1:16" ht="15.75" customHeight="1" x14ac:dyDescent="0.25">
      <c r="A328" s="18"/>
      <c r="B328" s="17"/>
      <c r="C328" s="17"/>
      <c r="D328" s="18"/>
      <c r="E328" s="18"/>
      <c r="F328" s="17"/>
      <c r="G328" s="18"/>
      <c r="H328" s="18"/>
      <c r="I328" s="18"/>
      <c r="J328" s="15"/>
      <c r="K328" s="37"/>
      <c r="L328" s="328"/>
      <c r="M328" s="47"/>
      <c r="N328" s="263"/>
      <c r="O328" s="17"/>
      <c r="P328" s="18"/>
    </row>
    <row r="329" spans="1:16" ht="15.75" customHeight="1" x14ac:dyDescent="0.25">
      <c r="A329" s="18"/>
      <c r="B329" s="17"/>
      <c r="C329" s="17"/>
      <c r="D329" s="18"/>
      <c r="E329" s="18"/>
      <c r="F329" s="17"/>
      <c r="G329" s="18"/>
      <c r="H329" s="18"/>
      <c r="I329" s="18"/>
      <c r="J329" s="15"/>
      <c r="K329" s="37"/>
      <c r="L329" s="328"/>
      <c r="M329" s="47"/>
      <c r="N329" s="263"/>
      <c r="O329" s="17"/>
      <c r="P329" s="18"/>
    </row>
    <row r="330" spans="1:16" ht="15.75" customHeight="1" x14ac:dyDescent="0.25">
      <c r="A330" s="18"/>
      <c r="B330" s="17"/>
      <c r="C330" s="17"/>
      <c r="D330" s="18"/>
      <c r="E330" s="18"/>
      <c r="F330" s="17"/>
      <c r="G330" s="18"/>
      <c r="H330" s="18"/>
      <c r="I330" s="18"/>
      <c r="J330" s="15"/>
      <c r="K330" s="37"/>
      <c r="L330" s="328"/>
      <c r="M330" s="47"/>
      <c r="N330" s="263"/>
      <c r="O330" s="17"/>
      <c r="P330" s="18"/>
    </row>
    <row r="331" spans="1:16" ht="15.75" customHeight="1" x14ac:dyDescent="0.25">
      <c r="A331" s="18"/>
      <c r="B331" s="17"/>
      <c r="C331" s="17"/>
      <c r="D331" s="18"/>
      <c r="E331" s="18"/>
      <c r="F331" s="17"/>
      <c r="G331" s="18"/>
      <c r="H331" s="18"/>
      <c r="I331" s="18"/>
      <c r="J331" s="15"/>
      <c r="K331" s="37"/>
      <c r="L331" s="328"/>
      <c r="M331" s="47"/>
      <c r="N331" s="263"/>
      <c r="O331" s="17"/>
      <c r="P331" s="18"/>
    </row>
    <row r="332" spans="1:16" ht="15.75" customHeight="1" x14ac:dyDescent="0.25">
      <c r="A332" s="18"/>
      <c r="B332" s="17"/>
      <c r="C332" s="17"/>
      <c r="D332" s="18"/>
      <c r="E332" s="18"/>
      <c r="F332" s="17"/>
      <c r="G332" s="18"/>
      <c r="H332" s="18"/>
      <c r="I332" s="18"/>
      <c r="J332" s="15"/>
      <c r="K332" s="37"/>
      <c r="L332" s="328"/>
      <c r="M332" s="47"/>
      <c r="N332" s="263"/>
      <c r="O332" s="17"/>
      <c r="P332" s="18"/>
    </row>
    <row r="333" spans="1:16" ht="15.75" customHeight="1" x14ac:dyDescent="0.25">
      <c r="A333" s="18"/>
      <c r="B333" s="17"/>
      <c r="C333" s="17"/>
      <c r="D333" s="18"/>
      <c r="E333" s="18"/>
      <c r="F333" s="17"/>
      <c r="G333" s="18"/>
      <c r="H333" s="18"/>
      <c r="I333" s="18"/>
      <c r="J333" s="15"/>
      <c r="K333" s="37"/>
      <c r="L333" s="328"/>
      <c r="M333" s="47"/>
      <c r="N333" s="263"/>
      <c r="O333" s="17"/>
      <c r="P333" s="18"/>
    </row>
    <row r="334" spans="1:16" ht="15.75" customHeight="1" x14ac:dyDescent="0.25">
      <c r="A334" s="18"/>
      <c r="B334" s="17"/>
      <c r="C334" s="17"/>
      <c r="D334" s="18"/>
      <c r="E334" s="18"/>
      <c r="F334" s="17"/>
      <c r="G334" s="18"/>
      <c r="H334" s="18"/>
      <c r="I334" s="18"/>
      <c r="J334" s="15"/>
      <c r="K334" s="37"/>
      <c r="L334" s="328"/>
      <c r="M334" s="47"/>
      <c r="N334" s="263"/>
      <c r="O334" s="17"/>
      <c r="P334" s="18"/>
    </row>
    <row r="335" spans="1:16" ht="15.75" customHeight="1" x14ac:dyDescent="0.25">
      <c r="A335" s="18"/>
      <c r="B335" s="17"/>
      <c r="C335" s="17"/>
      <c r="D335" s="18"/>
      <c r="E335" s="18"/>
      <c r="F335" s="17"/>
      <c r="G335" s="18"/>
      <c r="H335" s="18"/>
      <c r="I335" s="18"/>
      <c r="J335" s="15"/>
      <c r="K335" s="37"/>
      <c r="L335" s="328"/>
      <c r="M335" s="47"/>
      <c r="N335" s="263"/>
      <c r="O335" s="17"/>
      <c r="P335" s="18"/>
    </row>
    <row r="336" spans="1:16" ht="15.75" customHeight="1" x14ac:dyDescent="0.25">
      <c r="A336" s="18"/>
      <c r="B336" s="17"/>
      <c r="C336" s="17"/>
      <c r="D336" s="18"/>
      <c r="E336" s="18"/>
      <c r="F336" s="17"/>
      <c r="G336" s="18"/>
      <c r="H336" s="18"/>
      <c r="I336" s="18"/>
      <c r="J336" s="15"/>
      <c r="K336" s="37"/>
      <c r="L336" s="328"/>
      <c r="M336" s="47"/>
      <c r="N336" s="263"/>
      <c r="O336" s="17"/>
      <c r="P336" s="18"/>
    </row>
    <row r="337" spans="1:16" ht="15.75" customHeight="1" x14ac:dyDescent="0.25">
      <c r="A337" s="18"/>
      <c r="B337" s="17"/>
      <c r="C337" s="17"/>
      <c r="D337" s="18"/>
      <c r="E337" s="18"/>
      <c r="F337" s="17"/>
      <c r="G337" s="18"/>
      <c r="H337" s="18"/>
      <c r="I337" s="18"/>
      <c r="J337" s="15"/>
      <c r="K337" s="37"/>
      <c r="L337" s="328"/>
      <c r="M337" s="47"/>
      <c r="N337" s="263"/>
      <c r="O337" s="17"/>
      <c r="P337" s="18"/>
    </row>
    <row r="338" spans="1:16" ht="15.75" customHeight="1" x14ac:dyDescent="0.25">
      <c r="A338" s="18"/>
      <c r="B338" s="17"/>
      <c r="C338" s="17"/>
      <c r="D338" s="18"/>
      <c r="E338" s="18"/>
      <c r="F338" s="17"/>
      <c r="G338" s="18"/>
      <c r="H338" s="18"/>
      <c r="I338" s="18"/>
      <c r="J338" s="15"/>
      <c r="K338" s="37"/>
      <c r="L338" s="328"/>
      <c r="M338" s="47"/>
      <c r="N338" s="263"/>
      <c r="O338" s="17"/>
      <c r="P338" s="18"/>
    </row>
    <row r="339" spans="1:16" ht="15.75" customHeight="1" x14ac:dyDescent="0.25">
      <c r="A339" s="18"/>
      <c r="B339" s="17"/>
      <c r="C339" s="17"/>
      <c r="D339" s="18"/>
      <c r="E339" s="18"/>
      <c r="F339" s="17"/>
      <c r="G339" s="18"/>
      <c r="H339" s="18"/>
      <c r="I339" s="18"/>
      <c r="J339" s="15"/>
      <c r="K339" s="37"/>
      <c r="L339" s="328"/>
      <c r="M339" s="47"/>
      <c r="N339" s="263"/>
      <c r="O339" s="17"/>
      <c r="P339" s="18"/>
    </row>
    <row r="340" spans="1:16" ht="15.75" customHeight="1" x14ac:dyDescent="0.25">
      <c r="A340" s="18"/>
      <c r="B340" s="17"/>
      <c r="C340" s="17"/>
      <c r="D340" s="18"/>
      <c r="E340" s="18"/>
      <c r="F340" s="17"/>
      <c r="G340" s="18"/>
      <c r="H340" s="18"/>
      <c r="I340" s="18"/>
      <c r="J340" s="15"/>
      <c r="K340" s="37"/>
      <c r="L340" s="328"/>
      <c r="M340" s="47"/>
      <c r="N340" s="263"/>
      <c r="O340" s="17"/>
      <c r="P340" s="18"/>
    </row>
    <row r="341" spans="1:16" ht="15.75" customHeight="1" x14ac:dyDescent="0.25">
      <c r="A341" s="18"/>
      <c r="B341" s="17"/>
      <c r="C341" s="17"/>
      <c r="D341" s="18"/>
      <c r="E341" s="18"/>
      <c r="F341" s="17"/>
      <c r="G341" s="18"/>
      <c r="H341" s="18"/>
      <c r="I341" s="18"/>
      <c r="J341" s="15"/>
      <c r="K341" s="37"/>
      <c r="L341" s="328"/>
      <c r="M341" s="47"/>
      <c r="N341" s="263"/>
      <c r="O341" s="17"/>
      <c r="P341" s="18"/>
    </row>
    <row r="342" spans="1:16" ht="15.75" customHeight="1" x14ac:dyDescent="0.25">
      <c r="A342" s="18"/>
      <c r="B342" s="17"/>
      <c r="C342" s="17"/>
      <c r="D342" s="18"/>
      <c r="E342" s="18"/>
      <c r="F342" s="17"/>
      <c r="G342" s="18"/>
      <c r="H342" s="18"/>
      <c r="I342" s="18"/>
      <c r="J342" s="15"/>
      <c r="K342" s="37"/>
      <c r="L342" s="328"/>
      <c r="M342" s="47"/>
      <c r="N342" s="263"/>
      <c r="O342" s="17"/>
      <c r="P342" s="18"/>
    </row>
    <row r="343" spans="1:16" ht="15.75" customHeight="1" x14ac:dyDescent="0.25">
      <c r="A343" s="18"/>
      <c r="B343" s="17"/>
      <c r="C343" s="17"/>
      <c r="D343" s="18"/>
      <c r="E343" s="18"/>
      <c r="F343" s="17"/>
      <c r="G343" s="18"/>
      <c r="H343" s="18"/>
      <c r="I343" s="18"/>
      <c r="J343" s="15"/>
      <c r="K343" s="37"/>
      <c r="L343" s="328"/>
      <c r="M343" s="47"/>
      <c r="N343" s="263"/>
      <c r="O343" s="17"/>
      <c r="P343" s="18"/>
    </row>
    <row r="344" spans="1:16" ht="15.75" customHeight="1" x14ac:dyDescent="0.25">
      <c r="A344" s="18"/>
      <c r="B344" s="17"/>
      <c r="C344" s="17"/>
      <c r="D344" s="18"/>
      <c r="E344" s="18"/>
      <c r="F344" s="17"/>
      <c r="G344" s="18"/>
      <c r="H344" s="18"/>
      <c r="I344" s="18"/>
      <c r="J344" s="15"/>
      <c r="K344" s="37"/>
      <c r="L344" s="328"/>
      <c r="M344" s="47"/>
      <c r="N344" s="263"/>
      <c r="O344" s="17"/>
      <c r="P344" s="18"/>
    </row>
    <row r="345" spans="1:16" ht="15.75" customHeight="1" x14ac:dyDescent="0.25">
      <c r="A345" s="18"/>
      <c r="B345" s="17"/>
      <c r="C345" s="17"/>
      <c r="D345" s="18"/>
      <c r="E345" s="18"/>
      <c r="F345" s="17"/>
      <c r="G345" s="18"/>
      <c r="H345" s="18"/>
      <c r="I345" s="18"/>
      <c r="J345" s="15"/>
      <c r="K345" s="37"/>
      <c r="L345" s="328"/>
      <c r="M345" s="47"/>
      <c r="N345" s="263"/>
      <c r="O345" s="17"/>
      <c r="P345" s="18"/>
    </row>
    <row r="346" spans="1:16" ht="15.75" customHeight="1" x14ac:dyDescent="0.25">
      <c r="A346" s="18"/>
      <c r="B346" s="17"/>
      <c r="C346" s="17"/>
      <c r="D346" s="18"/>
      <c r="E346" s="18"/>
      <c r="F346" s="17"/>
      <c r="G346" s="18"/>
      <c r="H346" s="18"/>
      <c r="I346" s="18"/>
      <c r="J346" s="15"/>
      <c r="K346" s="37"/>
      <c r="L346" s="328"/>
      <c r="M346" s="47"/>
      <c r="N346" s="263"/>
      <c r="O346" s="17"/>
      <c r="P346" s="18"/>
    </row>
    <row r="347" spans="1:16" ht="15.75" customHeight="1" x14ac:dyDescent="0.25">
      <c r="A347" s="18"/>
      <c r="B347" s="17"/>
      <c r="C347" s="17"/>
      <c r="D347" s="18"/>
      <c r="E347" s="18"/>
      <c r="F347" s="17"/>
      <c r="G347" s="18"/>
      <c r="H347" s="18"/>
      <c r="I347" s="18"/>
      <c r="J347" s="15"/>
      <c r="K347" s="37"/>
      <c r="L347" s="328"/>
      <c r="M347" s="47"/>
      <c r="N347" s="263"/>
      <c r="O347" s="17"/>
      <c r="P347" s="18"/>
    </row>
    <row r="348" spans="1:16" ht="15.75" customHeight="1" x14ac:dyDescent="0.25">
      <c r="A348" s="18"/>
      <c r="B348" s="17"/>
      <c r="C348" s="17"/>
      <c r="D348" s="18"/>
      <c r="E348" s="18"/>
      <c r="F348" s="17"/>
      <c r="G348" s="18"/>
      <c r="H348" s="18"/>
      <c r="I348" s="18"/>
      <c r="J348" s="15"/>
      <c r="K348" s="37"/>
      <c r="L348" s="328"/>
      <c r="M348" s="47"/>
      <c r="N348" s="263"/>
      <c r="O348" s="17"/>
      <c r="P348" s="18"/>
    </row>
    <row r="349" spans="1:16" ht="15.75" customHeight="1" x14ac:dyDescent="0.25">
      <c r="A349" s="18"/>
      <c r="B349" s="17"/>
      <c r="C349" s="17"/>
      <c r="D349" s="18"/>
      <c r="E349" s="18"/>
      <c r="F349" s="17"/>
      <c r="G349" s="18"/>
      <c r="H349" s="18"/>
      <c r="I349" s="18"/>
      <c r="J349" s="15"/>
      <c r="K349" s="37"/>
      <c r="L349" s="328"/>
      <c r="M349" s="47"/>
      <c r="N349" s="263"/>
      <c r="O349" s="17"/>
      <c r="P349" s="18"/>
    </row>
    <row r="350" spans="1:16" ht="15.75" customHeight="1" x14ac:dyDescent="0.25">
      <c r="A350" s="18"/>
      <c r="B350" s="17"/>
      <c r="C350" s="17"/>
      <c r="D350" s="18"/>
      <c r="E350" s="18"/>
      <c r="F350" s="17"/>
      <c r="G350" s="18"/>
      <c r="H350" s="18"/>
      <c r="I350" s="18"/>
      <c r="J350" s="15"/>
      <c r="K350" s="37"/>
      <c r="L350" s="328"/>
      <c r="M350" s="47"/>
      <c r="N350" s="263"/>
      <c r="O350" s="17"/>
      <c r="P350" s="18"/>
    </row>
    <row r="351" spans="1:16" ht="15.75" customHeight="1" x14ac:dyDescent="0.25">
      <c r="A351" s="18"/>
      <c r="B351" s="17"/>
      <c r="C351" s="17"/>
      <c r="D351" s="18"/>
      <c r="E351" s="18"/>
      <c r="F351" s="17"/>
      <c r="G351" s="18"/>
      <c r="H351" s="18"/>
      <c r="I351" s="18"/>
      <c r="J351" s="15"/>
      <c r="K351" s="37"/>
      <c r="L351" s="328"/>
      <c r="M351" s="47"/>
      <c r="N351" s="263"/>
      <c r="O351" s="17"/>
      <c r="P351" s="18"/>
    </row>
    <row r="352" spans="1:16" ht="15.75" customHeight="1" x14ac:dyDescent="0.25">
      <c r="A352" s="18"/>
      <c r="B352" s="17"/>
      <c r="C352" s="17"/>
      <c r="D352" s="18"/>
      <c r="E352" s="18"/>
      <c r="F352" s="17"/>
      <c r="G352" s="18"/>
      <c r="H352" s="18"/>
      <c r="I352" s="18"/>
      <c r="J352" s="15"/>
      <c r="K352" s="37"/>
      <c r="L352" s="328"/>
      <c r="M352" s="47"/>
      <c r="N352" s="263"/>
      <c r="O352" s="17"/>
      <c r="P352" s="18"/>
    </row>
    <row r="353" spans="1:16" ht="15.75" customHeight="1" x14ac:dyDescent="0.25">
      <c r="A353" s="18"/>
      <c r="B353" s="17"/>
      <c r="C353" s="17"/>
      <c r="D353" s="18"/>
      <c r="E353" s="18"/>
      <c r="F353" s="17"/>
      <c r="G353" s="18"/>
      <c r="H353" s="18"/>
      <c r="I353" s="18"/>
      <c r="J353" s="15"/>
      <c r="K353" s="37"/>
      <c r="L353" s="328"/>
      <c r="M353" s="47"/>
      <c r="N353" s="263"/>
      <c r="O353" s="17"/>
      <c r="P353" s="18"/>
    </row>
    <row r="354" spans="1:16" ht="15.75" customHeight="1" x14ac:dyDescent="0.25">
      <c r="A354" s="18"/>
      <c r="B354" s="17"/>
      <c r="C354" s="17"/>
      <c r="D354" s="18"/>
      <c r="E354" s="18"/>
      <c r="F354" s="17"/>
      <c r="G354" s="18"/>
      <c r="H354" s="18"/>
      <c r="I354" s="18"/>
      <c r="J354" s="15"/>
      <c r="K354" s="37"/>
      <c r="L354" s="328"/>
      <c r="M354" s="47"/>
      <c r="N354" s="263"/>
      <c r="O354" s="17"/>
      <c r="P354" s="18"/>
    </row>
    <row r="355" spans="1:16" ht="15.75" customHeight="1" x14ac:dyDescent="0.25">
      <c r="A355" s="18"/>
      <c r="B355" s="17"/>
      <c r="C355" s="17"/>
      <c r="D355" s="18"/>
      <c r="E355" s="18"/>
      <c r="F355" s="17"/>
      <c r="G355" s="18"/>
      <c r="H355" s="18"/>
      <c r="I355" s="18"/>
      <c r="J355" s="15"/>
      <c r="K355" s="37"/>
      <c r="L355" s="328"/>
      <c r="M355" s="47"/>
      <c r="N355" s="263"/>
      <c r="O355" s="17"/>
      <c r="P355" s="18"/>
    </row>
    <row r="356" spans="1:16" ht="15.75" customHeight="1" x14ac:dyDescent="0.25">
      <c r="A356" s="18"/>
      <c r="B356" s="17"/>
      <c r="C356" s="17"/>
      <c r="D356" s="18"/>
      <c r="E356" s="18"/>
      <c r="F356" s="17"/>
      <c r="G356" s="18"/>
      <c r="H356" s="18"/>
      <c r="I356" s="18"/>
      <c r="J356" s="15"/>
      <c r="K356" s="37"/>
      <c r="L356" s="328"/>
      <c r="M356" s="47"/>
      <c r="N356" s="263"/>
      <c r="O356" s="17"/>
      <c r="P356" s="18"/>
    </row>
    <row r="357" spans="1:16" ht="15.75" customHeight="1" x14ac:dyDescent="0.25">
      <c r="A357" s="18"/>
      <c r="B357" s="17"/>
      <c r="C357" s="17"/>
      <c r="D357" s="18"/>
      <c r="E357" s="18"/>
      <c r="F357" s="17"/>
      <c r="G357" s="18"/>
      <c r="H357" s="18"/>
      <c r="I357" s="18"/>
      <c r="J357" s="15"/>
      <c r="K357" s="37"/>
      <c r="L357" s="328"/>
      <c r="M357" s="47"/>
      <c r="N357" s="263"/>
      <c r="O357" s="17"/>
      <c r="P357" s="18"/>
    </row>
    <row r="358" spans="1:16" ht="15.75" customHeight="1" x14ac:dyDescent="0.25">
      <c r="A358" s="18"/>
      <c r="B358" s="17"/>
      <c r="C358" s="17"/>
      <c r="D358" s="18"/>
      <c r="E358" s="18"/>
      <c r="F358" s="17"/>
      <c r="G358" s="18"/>
      <c r="H358" s="18"/>
      <c r="I358" s="18"/>
      <c r="J358" s="15"/>
      <c r="K358" s="37"/>
      <c r="L358" s="328"/>
      <c r="M358" s="47"/>
      <c r="N358" s="263"/>
      <c r="O358" s="17"/>
      <c r="P358" s="18"/>
    </row>
    <row r="359" spans="1:16" ht="15.75" customHeight="1" x14ac:dyDescent="0.25">
      <c r="A359" s="18"/>
      <c r="B359" s="17"/>
      <c r="C359" s="17"/>
      <c r="D359" s="18"/>
      <c r="E359" s="18"/>
      <c r="F359" s="17"/>
      <c r="G359" s="18"/>
      <c r="H359" s="18"/>
      <c r="I359" s="18"/>
      <c r="J359" s="15"/>
      <c r="K359" s="37"/>
      <c r="L359" s="328"/>
      <c r="M359" s="47"/>
      <c r="N359" s="263"/>
      <c r="O359" s="17"/>
      <c r="P359" s="18"/>
    </row>
    <row r="360" spans="1:16" ht="15.75" customHeight="1" x14ac:dyDescent="0.25">
      <c r="A360" s="18"/>
      <c r="B360" s="17"/>
      <c r="C360" s="17"/>
      <c r="D360" s="18"/>
      <c r="E360" s="18"/>
      <c r="F360" s="17"/>
      <c r="G360" s="18"/>
      <c r="H360" s="18"/>
      <c r="I360" s="18"/>
      <c r="J360" s="15"/>
      <c r="K360" s="37"/>
      <c r="L360" s="328"/>
      <c r="M360" s="47"/>
      <c r="N360" s="263"/>
      <c r="O360" s="17"/>
      <c r="P360" s="18"/>
    </row>
    <row r="361" spans="1:16" ht="15.75" customHeight="1" x14ac:dyDescent="0.25">
      <c r="A361" s="18"/>
      <c r="B361" s="17"/>
      <c r="C361" s="17"/>
      <c r="D361" s="18"/>
      <c r="E361" s="18"/>
      <c r="F361" s="17"/>
      <c r="G361" s="18"/>
      <c r="H361" s="18"/>
      <c r="I361" s="18"/>
      <c r="J361" s="15"/>
      <c r="K361" s="37"/>
      <c r="L361" s="328"/>
      <c r="M361" s="47"/>
      <c r="N361" s="263"/>
      <c r="O361" s="17"/>
      <c r="P361" s="18"/>
    </row>
    <row r="362" spans="1:16" ht="15.75" customHeight="1" x14ac:dyDescent="0.25">
      <c r="A362" s="18"/>
      <c r="B362" s="17"/>
      <c r="C362" s="17"/>
      <c r="D362" s="18"/>
      <c r="E362" s="18"/>
      <c r="F362" s="17"/>
      <c r="G362" s="18"/>
      <c r="H362" s="18"/>
      <c r="I362" s="18"/>
      <c r="J362" s="15"/>
      <c r="K362" s="37"/>
      <c r="L362" s="328"/>
      <c r="M362" s="47"/>
      <c r="N362" s="263"/>
      <c r="O362" s="17"/>
      <c r="P362" s="18"/>
    </row>
    <row r="363" spans="1:16" ht="15.75" customHeight="1" x14ac:dyDescent="0.25">
      <c r="A363" s="18"/>
      <c r="B363" s="17"/>
      <c r="C363" s="17"/>
      <c r="D363" s="18"/>
      <c r="E363" s="18"/>
      <c r="F363" s="17"/>
      <c r="G363" s="18"/>
      <c r="H363" s="18"/>
      <c r="I363" s="18"/>
      <c r="J363" s="15"/>
      <c r="K363" s="37"/>
      <c r="L363" s="328"/>
      <c r="M363" s="47"/>
      <c r="N363" s="263"/>
      <c r="O363" s="17"/>
      <c r="P363" s="18"/>
    </row>
    <row r="364" spans="1:16" ht="15.75" customHeight="1" x14ac:dyDescent="0.25">
      <c r="A364" s="18"/>
      <c r="B364" s="17"/>
      <c r="C364" s="17"/>
      <c r="D364" s="18"/>
      <c r="E364" s="18"/>
      <c r="F364" s="17"/>
      <c r="G364" s="18"/>
      <c r="H364" s="18"/>
      <c r="I364" s="18"/>
      <c r="J364" s="15"/>
      <c r="K364" s="37"/>
      <c r="L364" s="328"/>
      <c r="M364" s="47"/>
      <c r="N364" s="263"/>
      <c r="O364" s="17"/>
      <c r="P364" s="18"/>
    </row>
    <row r="365" spans="1:16" ht="15.75" customHeight="1" x14ac:dyDescent="0.25">
      <c r="A365" s="18"/>
      <c r="B365" s="17"/>
      <c r="C365" s="17"/>
      <c r="D365" s="18"/>
      <c r="E365" s="18"/>
      <c r="F365" s="17"/>
      <c r="G365" s="18"/>
      <c r="H365" s="18"/>
      <c r="I365" s="18"/>
      <c r="J365" s="15"/>
      <c r="K365" s="37"/>
      <c r="L365" s="328"/>
      <c r="M365" s="47"/>
      <c r="N365" s="263"/>
      <c r="O365" s="17"/>
      <c r="P365" s="18"/>
    </row>
    <row r="366" spans="1:16" ht="15.75" customHeight="1" x14ac:dyDescent="0.25">
      <c r="A366" s="18"/>
      <c r="B366" s="17"/>
      <c r="C366" s="17"/>
      <c r="D366" s="18"/>
      <c r="E366" s="18"/>
      <c r="F366" s="17"/>
      <c r="G366" s="18"/>
      <c r="H366" s="18"/>
      <c r="I366" s="18"/>
      <c r="J366" s="15"/>
      <c r="K366" s="37"/>
      <c r="L366" s="328"/>
      <c r="M366" s="47"/>
      <c r="N366" s="263"/>
      <c r="O366" s="17"/>
      <c r="P366" s="18"/>
    </row>
    <row r="367" spans="1:16" ht="15.75" customHeight="1" x14ac:dyDescent="0.25">
      <c r="A367" s="18"/>
      <c r="B367" s="17"/>
      <c r="C367" s="17"/>
      <c r="D367" s="18"/>
      <c r="E367" s="18"/>
      <c r="F367" s="17"/>
      <c r="G367" s="18"/>
      <c r="H367" s="18"/>
      <c r="I367" s="18"/>
      <c r="J367" s="15"/>
      <c r="K367" s="37"/>
      <c r="L367" s="328"/>
      <c r="M367" s="47"/>
      <c r="N367" s="263"/>
      <c r="O367" s="17"/>
      <c r="P367" s="18"/>
    </row>
    <row r="368" spans="1:16" ht="15.75" customHeight="1" x14ac:dyDescent="0.25">
      <c r="A368" s="18"/>
      <c r="B368" s="17"/>
      <c r="C368" s="17"/>
      <c r="D368" s="18"/>
      <c r="E368" s="18"/>
      <c r="F368" s="17"/>
      <c r="G368" s="18"/>
      <c r="H368" s="18"/>
      <c r="I368" s="18"/>
      <c r="J368" s="15"/>
      <c r="K368" s="37"/>
      <c r="L368" s="328"/>
      <c r="M368" s="47"/>
      <c r="N368" s="263"/>
      <c r="O368" s="17"/>
      <c r="P368" s="18"/>
    </row>
    <row r="369" spans="1:16" ht="15.75" customHeight="1" x14ac:dyDescent="0.25">
      <c r="A369" s="18"/>
      <c r="B369" s="17"/>
      <c r="C369" s="17"/>
      <c r="D369" s="18"/>
      <c r="E369" s="18"/>
      <c r="F369" s="17"/>
      <c r="G369" s="18"/>
      <c r="H369" s="18"/>
      <c r="I369" s="18"/>
      <c r="J369" s="15"/>
      <c r="K369" s="37"/>
      <c r="L369" s="328"/>
      <c r="M369" s="47"/>
      <c r="N369" s="263"/>
      <c r="O369" s="17"/>
      <c r="P369" s="18"/>
    </row>
    <row r="370" spans="1:16" ht="15.75" customHeight="1" x14ac:dyDescent="0.25">
      <c r="A370" s="18"/>
      <c r="B370" s="17"/>
      <c r="C370" s="17"/>
      <c r="D370" s="18"/>
      <c r="E370" s="18"/>
      <c r="F370" s="17"/>
      <c r="G370" s="18"/>
      <c r="H370" s="18"/>
      <c r="I370" s="18"/>
      <c r="J370" s="15"/>
      <c r="K370" s="37"/>
      <c r="L370" s="328"/>
      <c r="M370" s="47"/>
      <c r="N370" s="263"/>
      <c r="O370" s="17"/>
      <c r="P370" s="18"/>
    </row>
    <row r="371" spans="1:16" ht="15.75" customHeight="1" x14ac:dyDescent="0.25">
      <c r="A371" s="18"/>
      <c r="B371" s="17"/>
      <c r="C371" s="17"/>
      <c r="D371" s="18"/>
      <c r="E371" s="18"/>
      <c r="F371" s="17"/>
      <c r="G371" s="18"/>
      <c r="H371" s="18"/>
      <c r="I371" s="18"/>
      <c r="J371" s="15"/>
      <c r="K371" s="37"/>
      <c r="L371" s="328"/>
      <c r="M371" s="47"/>
      <c r="N371" s="263"/>
      <c r="O371" s="17"/>
      <c r="P371" s="18"/>
    </row>
    <row r="372" spans="1:16" ht="15.75" customHeight="1" x14ac:dyDescent="0.25">
      <c r="A372" s="18"/>
      <c r="B372" s="17"/>
      <c r="C372" s="17"/>
      <c r="D372" s="18"/>
      <c r="E372" s="18"/>
      <c r="F372" s="17"/>
      <c r="G372" s="18"/>
      <c r="H372" s="18"/>
      <c r="I372" s="18"/>
      <c r="J372" s="15"/>
      <c r="K372" s="37"/>
      <c r="L372" s="328"/>
      <c r="M372" s="47"/>
      <c r="N372" s="263"/>
      <c r="O372" s="17"/>
      <c r="P372" s="18"/>
    </row>
    <row r="373" spans="1:16" ht="15.75" customHeight="1" x14ac:dyDescent="0.25">
      <c r="A373" s="18"/>
      <c r="B373" s="17"/>
      <c r="C373" s="17"/>
      <c r="D373" s="18"/>
      <c r="E373" s="18"/>
      <c r="F373" s="17"/>
      <c r="G373" s="18"/>
      <c r="H373" s="18"/>
      <c r="I373" s="18"/>
      <c r="J373" s="15"/>
      <c r="K373" s="37"/>
      <c r="L373" s="328"/>
      <c r="M373" s="47"/>
      <c r="N373" s="263"/>
      <c r="O373" s="17"/>
      <c r="P373" s="18"/>
    </row>
    <row r="374" spans="1:16" ht="15.75" customHeight="1" x14ac:dyDescent="0.25">
      <c r="A374" s="18"/>
      <c r="B374" s="17"/>
      <c r="C374" s="17"/>
      <c r="D374" s="18"/>
      <c r="E374" s="18"/>
      <c r="F374" s="17"/>
      <c r="G374" s="18"/>
      <c r="H374" s="18"/>
      <c r="I374" s="18"/>
      <c r="J374" s="15"/>
      <c r="K374" s="37"/>
      <c r="L374" s="328"/>
      <c r="M374" s="47"/>
      <c r="N374" s="263"/>
      <c r="O374" s="17"/>
      <c r="P374" s="18"/>
    </row>
    <row r="375" spans="1:16" ht="15.75" customHeight="1" x14ac:dyDescent="0.25">
      <c r="A375" s="18"/>
      <c r="B375" s="17"/>
      <c r="C375" s="17"/>
      <c r="D375" s="18"/>
      <c r="E375" s="18"/>
      <c r="F375" s="17"/>
      <c r="G375" s="18"/>
      <c r="H375" s="18"/>
      <c r="I375" s="18"/>
      <c r="J375" s="15"/>
      <c r="K375" s="37"/>
      <c r="L375" s="328"/>
      <c r="M375" s="47"/>
      <c r="N375" s="263"/>
      <c r="O375" s="17"/>
      <c r="P375" s="18"/>
    </row>
    <row r="376" spans="1:16" ht="15.75" customHeight="1" x14ac:dyDescent="0.25">
      <c r="A376" s="18"/>
      <c r="B376" s="17"/>
      <c r="C376" s="17"/>
      <c r="D376" s="18"/>
      <c r="E376" s="18"/>
      <c r="F376" s="17"/>
      <c r="G376" s="18"/>
      <c r="H376" s="18"/>
      <c r="I376" s="18"/>
      <c r="J376" s="15"/>
      <c r="K376" s="37"/>
      <c r="L376" s="328"/>
      <c r="M376" s="47"/>
      <c r="N376" s="263"/>
      <c r="O376" s="17"/>
      <c r="P376" s="18"/>
    </row>
    <row r="377" spans="1:16" ht="15.75" customHeight="1" x14ac:dyDescent="0.25">
      <c r="A377" s="18"/>
      <c r="B377" s="17"/>
      <c r="C377" s="17"/>
      <c r="D377" s="18"/>
      <c r="E377" s="18"/>
      <c r="F377" s="17"/>
      <c r="G377" s="18"/>
      <c r="H377" s="18"/>
      <c r="I377" s="18"/>
      <c r="J377" s="15"/>
      <c r="K377" s="37"/>
      <c r="L377" s="328"/>
      <c r="M377" s="47"/>
      <c r="N377" s="263"/>
      <c r="O377" s="17"/>
      <c r="P377" s="18"/>
    </row>
    <row r="378" spans="1:16" ht="15.75" customHeight="1" x14ac:dyDescent="0.25">
      <c r="A378" s="18"/>
      <c r="B378" s="17"/>
      <c r="C378" s="17"/>
      <c r="D378" s="18"/>
      <c r="E378" s="18"/>
      <c r="F378" s="17"/>
      <c r="G378" s="18"/>
      <c r="H378" s="18"/>
      <c r="I378" s="18"/>
      <c r="J378" s="15"/>
      <c r="K378" s="37"/>
      <c r="L378" s="328"/>
      <c r="M378" s="47"/>
      <c r="N378" s="263"/>
      <c r="O378" s="17"/>
      <c r="P378" s="18"/>
    </row>
    <row r="379" spans="1:16" ht="15.75" customHeight="1" x14ac:dyDescent="0.25">
      <c r="A379" s="18"/>
      <c r="B379" s="17"/>
      <c r="C379" s="17"/>
      <c r="D379" s="18"/>
      <c r="E379" s="18"/>
      <c r="F379" s="17"/>
      <c r="G379" s="18"/>
      <c r="H379" s="18"/>
      <c r="I379" s="18"/>
      <c r="J379" s="15"/>
      <c r="K379" s="37"/>
      <c r="L379" s="328"/>
      <c r="M379" s="47"/>
      <c r="N379" s="263"/>
      <c r="O379" s="17"/>
      <c r="P379" s="18"/>
    </row>
    <row r="380" spans="1:16" ht="15.75" customHeight="1" x14ac:dyDescent="0.25">
      <c r="A380" s="18"/>
      <c r="B380" s="17"/>
      <c r="C380" s="17"/>
      <c r="D380" s="18"/>
      <c r="E380" s="18"/>
      <c r="F380" s="17"/>
      <c r="G380" s="18"/>
      <c r="H380" s="18"/>
      <c r="I380" s="18"/>
      <c r="J380" s="15"/>
      <c r="K380" s="37"/>
      <c r="L380" s="328"/>
      <c r="M380" s="47"/>
      <c r="N380" s="263"/>
      <c r="O380" s="17"/>
      <c r="P380" s="18"/>
    </row>
    <row r="381" spans="1:16" ht="15.75" customHeight="1" x14ac:dyDescent="0.25">
      <c r="A381" s="18"/>
      <c r="B381" s="17"/>
      <c r="C381" s="17"/>
      <c r="D381" s="18"/>
      <c r="E381" s="18"/>
      <c r="F381" s="17"/>
      <c r="G381" s="18"/>
      <c r="H381" s="18"/>
      <c r="I381" s="18"/>
      <c r="J381" s="15"/>
      <c r="K381" s="37"/>
      <c r="L381" s="328"/>
      <c r="M381" s="47"/>
      <c r="N381" s="263"/>
      <c r="O381" s="17"/>
      <c r="P381" s="18"/>
    </row>
    <row r="382" spans="1:16" ht="15.75" customHeight="1" x14ac:dyDescent="0.25">
      <c r="A382" s="18"/>
      <c r="B382" s="17"/>
      <c r="C382" s="17"/>
      <c r="D382" s="18"/>
      <c r="E382" s="18"/>
      <c r="F382" s="17"/>
      <c r="G382" s="18"/>
      <c r="H382" s="18"/>
      <c r="I382" s="18"/>
      <c r="J382" s="15"/>
      <c r="K382" s="37"/>
      <c r="L382" s="328"/>
      <c r="M382" s="47"/>
      <c r="N382" s="263"/>
      <c r="O382" s="17"/>
      <c r="P382" s="18"/>
    </row>
    <row r="383" spans="1:16" ht="15.75" customHeight="1" x14ac:dyDescent="0.25">
      <c r="A383" s="18"/>
      <c r="B383" s="17"/>
      <c r="C383" s="17"/>
      <c r="D383" s="18"/>
      <c r="E383" s="18"/>
      <c r="F383" s="17"/>
      <c r="G383" s="18"/>
      <c r="H383" s="18"/>
      <c r="I383" s="18"/>
      <c r="J383" s="15"/>
      <c r="K383" s="37"/>
      <c r="L383" s="328"/>
      <c r="M383" s="47"/>
      <c r="N383" s="263"/>
      <c r="O383" s="17"/>
      <c r="P383" s="18"/>
    </row>
    <row r="384" spans="1:16" ht="15.75" customHeight="1" x14ac:dyDescent="0.25">
      <c r="A384" s="18"/>
      <c r="B384" s="17"/>
      <c r="C384" s="17"/>
      <c r="D384" s="18"/>
      <c r="E384" s="18"/>
      <c r="F384" s="17"/>
      <c r="G384" s="18"/>
      <c r="H384" s="18"/>
      <c r="I384" s="18"/>
      <c r="J384" s="15"/>
      <c r="K384" s="37"/>
      <c r="L384" s="328"/>
      <c r="M384" s="47"/>
      <c r="N384" s="263"/>
      <c r="O384" s="17"/>
      <c r="P384" s="18"/>
    </row>
    <row r="385" spans="1:16" ht="15.75" customHeight="1" x14ac:dyDescent="0.25">
      <c r="A385" s="18"/>
      <c r="B385" s="17"/>
      <c r="C385" s="17"/>
      <c r="D385" s="18"/>
      <c r="E385" s="18"/>
      <c r="F385" s="17"/>
      <c r="G385" s="18"/>
      <c r="H385" s="18"/>
      <c r="I385" s="18"/>
      <c r="J385" s="15"/>
      <c r="K385" s="37"/>
      <c r="L385" s="328"/>
      <c r="M385" s="47"/>
      <c r="N385" s="263"/>
      <c r="O385" s="17"/>
      <c r="P385" s="18"/>
    </row>
    <row r="386" spans="1:16" ht="15.75" customHeight="1" x14ac:dyDescent="0.25">
      <c r="A386" s="18"/>
      <c r="B386" s="17"/>
      <c r="C386" s="17"/>
      <c r="D386" s="18"/>
      <c r="E386" s="18"/>
      <c r="F386" s="17"/>
      <c r="G386" s="18"/>
      <c r="H386" s="18"/>
      <c r="I386" s="18"/>
      <c r="J386" s="15"/>
      <c r="K386" s="37"/>
      <c r="L386" s="328"/>
      <c r="M386" s="47"/>
      <c r="N386" s="263"/>
      <c r="O386" s="17"/>
      <c r="P386" s="18"/>
    </row>
    <row r="387" spans="1:16" ht="15.75" customHeight="1" x14ac:dyDescent="0.25">
      <c r="A387" s="18"/>
      <c r="B387" s="17"/>
      <c r="C387" s="17"/>
      <c r="D387" s="18"/>
      <c r="E387" s="18"/>
      <c r="F387" s="17"/>
      <c r="G387" s="18"/>
      <c r="H387" s="18"/>
      <c r="I387" s="18"/>
      <c r="J387" s="15"/>
      <c r="K387" s="37"/>
      <c r="L387" s="328"/>
      <c r="M387" s="47"/>
      <c r="N387" s="263"/>
      <c r="O387" s="17"/>
      <c r="P387" s="18"/>
    </row>
    <row r="388" spans="1:16" ht="15.75" customHeight="1" x14ac:dyDescent="0.25">
      <c r="A388" s="18"/>
      <c r="B388" s="17"/>
      <c r="C388" s="17"/>
      <c r="D388" s="18"/>
      <c r="E388" s="18"/>
      <c r="F388" s="17"/>
      <c r="G388" s="18"/>
      <c r="H388" s="18"/>
      <c r="I388" s="18"/>
      <c r="J388" s="15"/>
      <c r="K388" s="37"/>
      <c r="L388" s="328"/>
      <c r="M388" s="47"/>
      <c r="N388" s="263"/>
      <c r="O388" s="17"/>
      <c r="P388" s="18"/>
    </row>
    <row r="389" spans="1:16" ht="15.75" customHeight="1" x14ac:dyDescent="0.25">
      <c r="A389" s="18"/>
      <c r="B389" s="17"/>
      <c r="C389" s="17"/>
      <c r="D389" s="18"/>
      <c r="E389" s="18"/>
      <c r="F389" s="17"/>
      <c r="G389" s="18"/>
      <c r="H389" s="18"/>
      <c r="I389" s="18"/>
      <c r="J389" s="15"/>
      <c r="K389" s="37"/>
      <c r="L389" s="328"/>
      <c r="M389" s="47"/>
      <c r="N389" s="263"/>
      <c r="O389" s="17"/>
      <c r="P389" s="18"/>
    </row>
    <row r="390" spans="1:16" ht="15.75" customHeight="1" x14ac:dyDescent="0.25">
      <c r="A390" s="18"/>
      <c r="B390" s="17"/>
      <c r="C390" s="17"/>
      <c r="D390" s="18"/>
      <c r="E390" s="18"/>
      <c r="F390" s="17"/>
      <c r="G390" s="18"/>
      <c r="H390" s="18"/>
      <c r="I390" s="18"/>
      <c r="J390" s="15"/>
      <c r="K390" s="37"/>
      <c r="L390" s="328"/>
      <c r="M390" s="47"/>
      <c r="N390" s="263"/>
      <c r="O390" s="17"/>
      <c r="P390" s="18"/>
    </row>
    <row r="391" spans="1:16" ht="15.75" customHeight="1" x14ac:dyDescent="0.25">
      <c r="A391" s="18"/>
      <c r="B391" s="17"/>
      <c r="C391" s="17"/>
      <c r="D391" s="18"/>
      <c r="E391" s="18"/>
      <c r="F391" s="17"/>
      <c r="G391" s="18"/>
      <c r="H391" s="18"/>
      <c r="I391" s="18"/>
      <c r="J391" s="15"/>
      <c r="K391" s="37"/>
      <c r="L391" s="328"/>
      <c r="M391" s="47"/>
      <c r="N391" s="263"/>
      <c r="O391" s="17"/>
      <c r="P391" s="18"/>
    </row>
    <row r="392" spans="1:16" ht="15.75" customHeight="1" x14ac:dyDescent="0.25">
      <c r="A392" s="18"/>
      <c r="B392" s="17"/>
      <c r="C392" s="17"/>
      <c r="D392" s="18"/>
      <c r="E392" s="18"/>
      <c r="F392" s="17"/>
      <c r="G392" s="18"/>
      <c r="H392" s="18"/>
      <c r="I392" s="18"/>
      <c r="J392" s="15"/>
      <c r="K392" s="37"/>
      <c r="L392" s="328"/>
      <c r="M392" s="47"/>
      <c r="N392" s="263"/>
      <c r="O392" s="17"/>
      <c r="P392" s="18"/>
    </row>
    <row r="393" spans="1:16" ht="15.75" customHeight="1" x14ac:dyDescent="0.25">
      <c r="A393" s="18"/>
      <c r="B393" s="17"/>
      <c r="C393" s="17"/>
      <c r="D393" s="18"/>
      <c r="E393" s="18"/>
      <c r="F393" s="17"/>
      <c r="G393" s="18"/>
      <c r="H393" s="18"/>
      <c r="I393" s="18"/>
      <c r="J393" s="15"/>
      <c r="K393" s="37"/>
      <c r="L393" s="328"/>
      <c r="M393" s="47"/>
      <c r="N393" s="263"/>
      <c r="O393" s="17"/>
      <c r="P393" s="18"/>
    </row>
    <row r="394" spans="1:16" ht="15.75" customHeight="1" x14ac:dyDescent="0.25">
      <c r="A394" s="18"/>
      <c r="B394" s="17"/>
      <c r="C394" s="17"/>
      <c r="D394" s="18"/>
      <c r="E394" s="18"/>
      <c r="F394" s="17"/>
      <c r="G394" s="18"/>
      <c r="H394" s="18"/>
      <c r="I394" s="18"/>
      <c r="J394" s="15"/>
      <c r="K394" s="37"/>
      <c r="L394" s="328"/>
      <c r="M394" s="47"/>
      <c r="N394" s="263"/>
      <c r="O394" s="17"/>
      <c r="P394" s="18"/>
    </row>
    <row r="395" spans="1:16" ht="15.75" customHeight="1" x14ac:dyDescent="0.25">
      <c r="A395" s="18"/>
      <c r="B395" s="17"/>
      <c r="C395" s="17"/>
      <c r="D395" s="18"/>
      <c r="E395" s="18"/>
      <c r="F395" s="17"/>
      <c r="G395" s="18"/>
      <c r="H395" s="18"/>
      <c r="I395" s="18"/>
      <c r="J395" s="15"/>
      <c r="K395" s="37"/>
      <c r="L395" s="328"/>
      <c r="M395" s="47"/>
      <c r="N395" s="263"/>
      <c r="O395" s="17"/>
      <c r="P395" s="18"/>
    </row>
    <row r="396" spans="1:16" ht="15.75" customHeight="1" x14ac:dyDescent="0.25">
      <c r="A396" s="18"/>
      <c r="B396" s="17"/>
      <c r="C396" s="17"/>
      <c r="D396" s="18"/>
      <c r="E396" s="18"/>
      <c r="F396" s="17"/>
      <c r="G396" s="18"/>
      <c r="H396" s="18"/>
      <c r="I396" s="18"/>
      <c r="J396" s="15"/>
      <c r="K396" s="37"/>
      <c r="L396" s="328"/>
      <c r="M396" s="47"/>
      <c r="N396" s="263"/>
      <c r="O396" s="17"/>
      <c r="P396" s="18"/>
    </row>
    <row r="397" spans="1:16" ht="15.75" customHeight="1" x14ac:dyDescent="0.25">
      <c r="A397" s="18"/>
      <c r="B397" s="17"/>
      <c r="C397" s="17"/>
      <c r="D397" s="18"/>
      <c r="E397" s="18"/>
      <c r="F397" s="17"/>
      <c r="G397" s="18"/>
      <c r="H397" s="18"/>
      <c r="I397" s="18"/>
      <c r="J397" s="15"/>
      <c r="K397" s="37"/>
      <c r="L397" s="328"/>
      <c r="M397" s="47"/>
      <c r="N397" s="263"/>
      <c r="O397" s="17"/>
      <c r="P397" s="18"/>
    </row>
    <row r="398" spans="1:16" ht="15.75" customHeight="1" x14ac:dyDescent="0.25">
      <c r="A398" s="18"/>
      <c r="B398" s="17"/>
      <c r="C398" s="17"/>
      <c r="D398" s="18"/>
      <c r="E398" s="18"/>
      <c r="F398" s="17"/>
      <c r="G398" s="18"/>
      <c r="H398" s="18"/>
      <c r="I398" s="18"/>
      <c r="J398" s="15"/>
      <c r="K398" s="37"/>
      <c r="L398" s="328"/>
      <c r="M398" s="47"/>
      <c r="N398" s="263"/>
      <c r="O398" s="17"/>
      <c r="P398" s="18"/>
    </row>
    <row r="399" spans="1:16" ht="15.75" customHeight="1" x14ac:dyDescent="0.25">
      <c r="A399" s="18"/>
      <c r="B399" s="17"/>
      <c r="C399" s="17"/>
      <c r="D399" s="18"/>
      <c r="E399" s="18"/>
      <c r="F399" s="17"/>
      <c r="G399" s="18"/>
      <c r="H399" s="18"/>
      <c r="I399" s="18"/>
      <c r="J399" s="15"/>
      <c r="K399" s="37"/>
      <c r="L399" s="328"/>
      <c r="M399" s="47"/>
      <c r="N399" s="263"/>
      <c r="O399" s="17"/>
      <c r="P399" s="18"/>
    </row>
    <row r="400" spans="1:16" ht="15.75" customHeight="1" x14ac:dyDescent="0.25">
      <c r="A400" s="18"/>
      <c r="B400" s="17"/>
      <c r="C400" s="17"/>
      <c r="D400" s="18"/>
      <c r="E400" s="18"/>
      <c r="F400" s="17"/>
      <c r="G400" s="18"/>
      <c r="H400" s="18"/>
      <c r="I400" s="18"/>
      <c r="J400" s="15"/>
      <c r="K400" s="37"/>
      <c r="L400" s="328"/>
      <c r="M400" s="47"/>
      <c r="N400" s="263"/>
      <c r="O400" s="17"/>
      <c r="P400" s="18"/>
    </row>
    <row r="401" spans="1:16" ht="15.75" customHeight="1" x14ac:dyDescent="0.25">
      <c r="A401" s="18"/>
      <c r="B401" s="17"/>
      <c r="C401" s="17"/>
      <c r="D401" s="18"/>
      <c r="E401" s="18"/>
      <c r="F401" s="17"/>
      <c r="G401" s="18"/>
      <c r="H401" s="18"/>
      <c r="I401" s="18"/>
      <c r="J401" s="15"/>
      <c r="K401" s="37"/>
      <c r="L401" s="328"/>
      <c r="M401" s="47"/>
      <c r="N401" s="263"/>
      <c r="O401" s="17"/>
      <c r="P401" s="18"/>
    </row>
    <row r="402" spans="1:16" ht="15.75" customHeight="1" x14ac:dyDescent="0.25">
      <c r="A402" s="18"/>
      <c r="B402" s="17"/>
      <c r="C402" s="17"/>
      <c r="D402" s="18"/>
      <c r="E402" s="18"/>
      <c r="F402" s="17"/>
      <c r="G402" s="18"/>
      <c r="H402" s="18"/>
      <c r="I402" s="18"/>
      <c r="J402" s="15"/>
      <c r="K402" s="37"/>
      <c r="L402" s="328"/>
      <c r="M402" s="47"/>
      <c r="N402" s="263"/>
      <c r="O402" s="17"/>
      <c r="P402" s="18"/>
    </row>
    <row r="403" spans="1:16" ht="15.75" customHeight="1" x14ac:dyDescent="0.25">
      <c r="A403" s="18"/>
      <c r="B403" s="17"/>
      <c r="C403" s="17"/>
      <c r="D403" s="18"/>
      <c r="E403" s="18"/>
      <c r="F403" s="17"/>
      <c r="G403" s="18"/>
      <c r="H403" s="18"/>
      <c r="I403" s="18"/>
      <c r="J403" s="15"/>
      <c r="K403" s="37"/>
      <c r="L403" s="328"/>
      <c r="M403" s="47"/>
      <c r="N403" s="263"/>
      <c r="O403" s="17"/>
      <c r="P403" s="18"/>
    </row>
    <row r="404" spans="1:16" ht="15.75" customHeight="1" x14ac:dyDescent="0.25">
      <c r="A404" s="18"/>
      <c r="B404" s="17"/>
      <c r="C404" s="17"/>
      <c r="D404" s="18"/>
      <c r="E404" s="18"/>
      <c r="F404" s="17"/>
      <c r="G404" s="18"/>
      <c r="H404" s="18"/>
      <c r="I404" s="18"/>
      <c r="J404" s="15"/>
      <c r="K404" s="37"/>
      <c r="L404" s="328"/>
      <c r="M404" s="47"/>
      <c r="N404" s="263"/>
      <c r="O404" s="17"/>
      <c r="P404" s="18"/>
    </row>
    <row r="405" spans="1:16" ht="15.75" customHeight="1" x14ac:dyDescent="0.25">
      <c r="A405" s="18"/>
      <c r="B405" s="17"/>
      <c r="C405" s="17"/>
      <c r="D405" s="18"/>
      <c r="E405" s="18"/>
      <c r="F405" s="17"/>
      <c r="G405" s="18"/>
      <c r="H405" s="18"/>
      <c r="I405" s="18"/>
      <c r="J405" s="15"/>
      <c r="K405" s="37"/>
      <c r="L405" s="328"/>
      <c r="M405" s="47"/>
      <c r="N405" s="263"/>
      <c r="O405" s="17"/>
      <c r="P405" s="18"/>
    </row>
    <row r="406" spans="1:16" ht="15.75" customHeight="1" x14ac:dyDescent="0.25">
      <c r="A406" s="18"/>
      <c r="B406" s="17"/>
      <c r="C406" s="17"/>
      <c r="D406" s="18"/>
      <c r="E406" s="18"/>
      <c r="F406" s="17"/>
      <c r="G406" s="18"/>
      <c r="H406" s="18"/>
      <c r="I406" s="18"/>
      <c r="J406" s="15"/>
      <c r="K406" s="37"/>
      <c r="L406" s="328"/>
      <c r="M406" s="47"/>
      <c r="N406" s="263"/>
      <c r="O406" s="17"/>
      <c r="P406" s="18"/>
    </row>
    <row r="407" spans="1:16" ht="15.75" customHeight="1" x14ac:dyDescent="0.25">
      <c r="A407" s="18"/>
      <c r="B407" s="17"/>
      <c r="C407" s="17"/>
      <c r="D407" s="18"/>
      <c r="E407" s="18"/>
      <c r="F407" s="17"/>
      <c r="G407" s="18"/>
      <c r="H407" s="18"/>
      <c r="I407" s="18"/>
      <c r="J407" s="15"/>
      <c r="K407" s="37"/>
      <c r="L407" s="328"/>
      <c r="M407" s="47"/>
      <c r="N407" s="263"/>
      <c r="O407" s="17"/>
      <c r="P407" s="18"/>
    </row>
    <row r="408" spans="1:16" ht="15.75" customHeight="1" x14ac:dyDescent="0.25">
      <c r="A408" s="18"/>
      <c r="B408" s="17"/>
      <c r="C408" s="17"/>
      <c r="D408" s="18"/>
      <c r="E408" s="18"/>
      <c r="F408" s="17"/>
      <c r="G408" s="18"/>
      <c r="H408" s="18"/>
      <c r="I408" s="18"/>
      <c r="J408" s="15"/>
      <c r="K408" s="37"/>
      <c r="L408" s="328"/>
      <c r="M408" s="47"/>
      <c r="N408" s="263"/>
      <c r="O408" s="17"/>
      <c r="P408" s="18"/>
    </row>
    <row r="409" spans="1:16" ht="15.75" customHeight="1" x14ac:dyDescent="0.25">
      <c r="A409" s="18"/>
      <c r="B409" s="17"/>
      <c r="C409" s="17"/>
      <c r="D409" s="18"/>
      <c r="E409" s="18"/>
      <c r="F409" s="17"/>
      <c r="G409" s="18"/>
      <c r="H409" s="18"/>
      <c r="I409" s="18"/>
      <c r="J409" s="15"/>
      <c r="K409" s="37"/>
      <c r="L409" s="328"/>
      <c r="M409" s="47"/>
      <c r="N409" s="263"/>
      <c r="O409" s="17"/>
      <c r="P409" s="18"/>
    </row>
    <row r="410" spans="1:16" ht="15.75" customHeight="1" x14ac:dyDescent="0.25">
      <c r="A410" s="18"/>
      <c r="B410" s="17"/>
      <c r="C410" s="17"/>
      <c r="D410" s="18"/>
      <c r="E410" s="18"/>
      <c r="F410" s="17"/>
      <c r="G410" s="18"/>
      <c r="H410" s="18"/>
      <c r="I410" s="18"/>
      <c r="J410" s="15"/>
      <c r="K410" s="37"/>
      <c r="L410" s="328"/>
      <c r="M410" s="47"/>
      <c r="N410" s="263"/>
      <c r="O410" s="17"/>
      <c r="P410" s="18"/>
    </row>
    <row r="411" spans="1:16" ht="15.75" customHeight="1" x14ac:dyDescent="0.25">
      <c r="A411" s="18"/>
      <c r="B411" s="17"/>
      <c r="C411" s="17"/>
      <c r="D411" s="18"/>
      <c r="E411" s="18"/>
      <c r="F411" s="17"/>
      <c r="G411" s="18"/>
      <c r="H411" s="18"/>
      <c r="I411" s="18"/>
      <c r="J411" s="15"/>
      <c r="K411" s="37"/>
      <c r="L411" s="328"/>
      <c r="M411" s="47"/>
      <c r="N411" s="263"/>
      <c r="O411" s="17"/>
      <c r="P411" s="18"/>
    </row>
    <row r="412" spans="1:16" ht="15.75" customHeight="1" x14ac:dyDescent="0.25">
      <c r="A412" s="18"/>
      <c r="B412" s="17"/>
      <c r="C412" s="17"/>
      <c r="D412" s="18"/>
      <c r="E412" s="18"/>
      <c r="F412" s="17"/>
      <c r="G412" s="18"/>
      <c r="H412" s="18"/>
      <c r="I412" s="18"/>
      <c r="J412" s="15"/>
      <c r="K412" s="37"/>
      <c r="L412" s="328"/>
      <c r="M412" s="47"/>
      <c r="N412" s="263"/>
      <c r="O412" s="17"/>
      <c r="P412" s="18"/>
    </row>
    <row r="413" spans="1:16" ht="15.75" customHeight="1" x14ac:dyDescent="0.25">
      <c r="A413" s="18"/>
      <c r="B413" s="17"/>
      <c r="C413" s="17"/>
      <c r="D413" s="18"/>
      <c r="E413" s="18"/>
      <c r="F413" s="17"/>
      <c r="G413" s="18"/>
      <c r="H413" s="18"/>
      <c r="I413" s="18"/>
      <c r="J413" s="15"/>
      <c r="K413" s="37"/>
      <c r="L413" s="328"/>
      <c r="M413" s="47"/>
      <c r="N413" s="263"/>
      <c r="O413" s="17"/>
      <c r="P413" s="18"/>
    </row>
    <row r="414" spans="1:16" ht="15.75" customHeight="1" x14ac:dyDescent="0.25">
      <c r="A414" s="18"/>
      <c r="B414" s="17"/>
      <c r="C414" s="17"/>
      <c r="D414" s="18"/>
      <c r="E414" s="18"/>
      <c r="F414" s="17"/>
      <c r="G414" s="18"/>
      <c r="H414" s="18"/>
      <c r="I414" s="18"/>
      <c r="J414" s="15"/>
      <c r="K414" s="37"/>
      <c r="L414" s="328"/>
      <c r="M414" s="47"/>
      <c r="N414" s="263"/>
      <c r="O414" s="17"/>
      <c r="P414" s="18"/>
    </row>
    <row r="415" spans="1:16" ht="15.75" customHeight="1" x14ac:dyDescent="0.25">
      <c r="A415" s="18"/>
      <c r="B415" s="17"/>
      <c r="C415" s="17"/>
      <c r="D415" s="18"/>
      <c r="E415" s="18"/>
      <c r="F415" s="17"/>
      <c r="G415" s="18"/>
      <c r="H415" s="18"/>
      <c r="I415" s="18"/>
      <c r="J415" s="15"/>
      <c r="K415" s="37"/>
      <c r="L415" s="328"/>
      <c r="M415" s="47"/>
      <c r="N415" s="263"/>
      <c r="O415" s="17"/>
      <c r="P415" s="18"/>
    </row>
    <row r="416" spans="1:16" ht="15.75" customHeight="1" x14ac:dyDescent="0.25">
      <c r="A416" s="18"/>
      <c r="B416" s="17"/>
      <c r="C416" s="17"/>
      <c r="D416" s="18"/>
      <c r="E416" s="18"/>
      <c r="F416" s="17"/>
      <c r="G416" s="18"/>
      <c r="H416" s="18"/>
      <c r="I416" s="18"/>
      <c r="J416" s="15"/>
      <c r="K416" s="37"/>
      <c r="L416" s="328"/>
      <c r="M416" s="47"/>
      <c r="N416" s="263"/>
      <c r="O416" s="17"/>
      <c r="P416" s="18"/>
    </row>
    <row r="417" spans="1:16" ht="15.75" customHeight="1" x14ac:dyDescent="0.25">
      <c r="A417" s="18"/>
      <c r="B417" s="17"/>
      <c r="C417" s="17"/>
      <c r="D417" s="18"/>
      <c r="E417" s="18"/>
      <c r="F417" s="17"/>
      <c r="G417" s="18"/>
      <c r="H417" s="18"/>
      <c r="I417" s="18"/>
      <c r="J417" s="15"/>
      <c r="K417" s="37"/>
      <c r="L417" s="328"/>
      <c r="M417" s="47"/>
      <c r="N417" s="263"/>
      <c r="O417" s="17"/>
      <c r="P417" s="18"/>
    </row>
    <row r="418" spans="1:16" ht="15.75" customHeight="1" x14ac:dyDescent="0.25">
      <c r="A418" s="18"/>
      <c r="B418" s="17"/>
      <c r="C418" s="17"/>
      <c r="D418" s="18"/>
      <c r="E418" s="18"/>
      <c r="F418" s="17"/>
      <c r="G418" s="18"/>
      <c r="H418" s="18"/>
      <c r="I418" s="18"/>
      <c r="J418" s="15"/>
      <c r="K418" s="37"/>
      <c r="L418" s="328"/>
      <c r="M418" s="47"/>
      <c r="N418" s="263"/>
      <c r="O418" s="17"/>
      <c r="P418" s="18"/>
    </row>
    <row r="419" spans="1:16" ht="15.75" customHeight="1" x14ac:dyDescent="0.25">
      <c r="A419" s="18"/>
      <c r="B419" s="17"/>
      <c r="C419" s="17"/>
      <c r="D419" s="18"/>
      <c r="E419" s="18"/>
      <c r="F419" s="17"/>
      <c r="G419" s="18"/>
      <c r="H419" s="18"/>
      <c r="I419" s="18"/>
      <c r="J419" s="15"/>
      <c r="K419" s="37"/>
      <c r="L419" s="328"/>
      <c r="M419" s="47"/>
      <c r="N419" s="263"/>
      <c r="O419" s="17"/>
      <c r="P419" s="18"/>
    </row>
    <row r="420" spans="1:16" ht="15.75" customHeight="1" x14ac:dyDescent="0.25">
      <c r="A420" s="18"/>
      <c r="B420" s="17"/>
      <c r="C420" s="17"/>
      <c r="D420" s="18"/>
      <c r="E420" s="18"/>
      <c r="F420" s="17"/>
      <c r="G420" s="18"/>
      <c r="H420" s="18"/>
      <c r="I420" s="18"/>
      <c r="J420" s="15"/>
      <c r="K420" s="37"/>
      <c r="L420" s="328"/>
      <c r="M420" s="47"/>
      <c r="N420" s="263"/>
      <c r="O420" s="17"/>
      <c r="P420" s="18"/>
    </row>
    <row r="421" spans="1:16" ht="15.75" customHeight="1" x14ac:dyDescent="0.25">
      <c r="A421" s="18"/>
      <c r="B421" s="17"/>
      <c r="C421" s="17"/>
      <c r="D421" s="18"/>
      <c r="E421" s="18"/>
      <c r="F421" s="17"/>
      <c r="G421" s="18"/>
      <c r="H421" s="18"/>
      <c r="I421" s="18"/>
      <c r="J421" s="15"/>
      <c r="K421" s="37"/>
      <c r="L421" s="328"/>
      <c r="M421" s="47"/>
      <c r="N421" s="263"/>
      <c r="O421" s="17"/>
      <c r="P421" s="18"/>
    </row>
    <row r="422" spans="1:16" ht="15.75" customHeight="1" x14ac:dyDescent="0.25">
      <c r="A422" s="18"/>
      <c r="B422" s="17"/>
      <c r="C422" s="17"/>
      <c r="D422" s="18"/>
      <c r="E422" s="18"/>
      <c r="F422" s="17"/>
      <c r="G422" s="18"/>
      <c r="H422" s="18"/>
      <c r="I422" s="18"/>
      <c r="J422" s="15"/>
      <c r="K422" s="37"/>
      <c r="L422" s="328"/>
      <c r="M422" s="47"/>
      <c r="N422" s="263"/>
      <c r="O422" s="17"/>
      <c r="P422" s="18"/>
    </row>
    <row r="423" spans="1:16" ht="15.75" customHeight="1" x14ac:dyDescent="0.25">
      <c r="A423" s="18"/>
      <c r="B423" s="17"/>
      <c r="C423" s="17"/>
      <c r="D423" s="18"/>
      <c r="E423" s="18"/>
      <c r="F423" s="17"/>
      <c r="G423" s="18"/>
      <c r="H423" s="18"/>
      <c r="I423" s="18"/>
      <c r="J423" s="15"/>
      <c r="K423" s="37"/>
      <c r="L423" s="328"/>
      <c r="M423" s="47"/>
      <c r="N423" s="263"/>
      <c r="O423" s="17"/>
      <c r="P423" s="18"/>
    </row>
    <row r="424" spans="1:16" ht="15.75" customHeight="1" x14ac:dyDescent="0.25">
      <c r="A424" s="18"/>
      <c r="B424" s="17"/>
      <c r="C424" s="17"/>
      <c r="D424" s="18"/>
      <c r="E424" s="18"/>
      <c r="F424" s="17"/>
      <c r="G424" s="18"/>
      <c r="H424" s="18"/>
      <c r="I424" s="18"/>
      <c r="J424" s="15"/>
      <c r="K424" s="37"/>
      <c r="L424" s="328"/>
      <c r="M424" s="47"/>
      <c r="N424" s="263"/>
      <c r="O424" s="17"/>
      <c r="P424" s="18"/>
    </row>
    <row r="425" spans="1:16" ht="15.75" customHeight="1" x14ac:dyDescent="0.25">
      <c r="A425" s="18"/>
      <c r="B425" s="17"/>
      <c r="C425" s="17"/>
      <c r="D425" s="18"/>
      <c r="E425" s="18"/>
      <c r="F425" s="17"/>
      <c r="G425" s="18"/>
      <c r="H425" s="18"/>
      <c r="I425" s="18"/>
      <c r="J425" s="15"/>
      <c r="K425" s="37"/>
      <c r="L425" s="328"/>
      <c r="M425" s="47"/>
      <c r="N425" s="263"/>
      <c r="O425" s="17"/>
      <c r="P425" s="18"/>
    </row>
    <row r="426" spans="1:16" ht="15.75" customHeight="1" x14ac:dyDescent="0.25">
      <c r="A426" s="18"/>
      <c r="B426" s="17"/>
      <c r="C426" s="17"/>
      <c r="D426" s="18"/>
      <c r="E426" s="18"/>
      <c r="F426" s="17"/>
      <c r="G426" s="18"/>
      <c r="H426" s="18"/>
      <c r="I426" s="18"/>
      <c r="J426" s="15"/>
      <c r="K426" s="37"/>
      <c r="L426" s="328"/>
      <c r="M426" s="47"/>
      <c r="N426" s="263"/>
      <c r="O426" s="17"/>
      <c r="P426" s="18"/>
    </row>
    <row r="427" spans="1:16" ht="15.75" customHeight="1" x14ac:dyDescent="0.25">
      <c r="A427" s="18"/>
      <c r="B427" s="17"/>
      <c r="C427" s="17"/>
      <c r="D427" s="18"/>
      <c r="E427" s="18"/>
      <c r="F427" s="17"/>
      <c r="G427" s="18"/>
      <c r="H427" s="18"/>
      <c r="I427" s="18"/>
      <c r="J427" s="15"/>
      <c r="K427" s="37"/>
      <c r="L427" s="328"/>
      <c r="M427" s="47"/>
      <c r="N427" s="263"/>
      <c r="O427" s="17"/>
      <c r="P427" s="18"/>
    </row>
    <row r="428" spans="1:16" ht="15.75" customHeight="1" x14ac:dyDescent="0.25">
      <c r="A428" s="18"/>
      <c r="B428" s="17"/>
      <c r="C428" s="17"/>
      <c r="D428" s="18"/>
      <c r="E428" s="18"/>
      <c r="F428" s="17"/>
      <c r="G428" s="18"/>
      <c r="H428" s="18"/>
      <c r="I428" s="18"/>
      <c r="J428" s="15"/>
      <c r="K428" s="37"/>
      <c r="L428" s="328"/>
      <c r="M428" s="47"/>
      <c r="N428" s="263"/>
      <c r="O428" s="17"/>
      <c r="P428" s="18"/>
    </row>
    <row r="429" spans="1:16" ht="15.75" customHeight="1" x14ac:dyDescent="0.25">
      <c r="A429" s="18"/>
      <c r="B429" s="17"/>
      <c r="C429" s="17"/>
      <c r="D429" s="18"/>
      <c r="E429" s="18"/>
      <c r="F429" s="17"/>
      <c r="G429" s="18"/>
      <c r="H429" s="18"/>
      <c r="I429" s="18"/>
      <c r="J429" s="15"/>
      <c r="K429" s="37"/>
      <c r="L429" s="328"/>
      <c r="M429" s="47"/>
      <c r="N429" s="263"/>
      <c r="O429" s="17"/>
      <c r="P429" s="18"/>
    </row>
    <row r="430" spans="1:16" ht="15.75" customHeight="1" x14ac:dyDescent="0.25">
      <c r="A430" s="18"/>
      <c r="B430" s="17"/>
      <c r="C430" s="17"/>
      <c r="D430" s="18"/>
      <c r="E430" s="18"/>
      <c r="F430" s="17"/>
      <c r="G430" s="18"/>
      <c r="H430" s="18"/>
      <c r="I430" s="18"/>
      <c r="J430" s="15"/>
      <c r="K430" s="37"/>
      <c r="L430" s="328"/>
      <c r="M430" s="47"/>
      <c r="N430" s="263"/>
      <c r="O430" s="17"/>
      <c r="P430" s="18"/>
    </row>
    <row r="431" spans="1:16" ht="15.75" customHeight="1" x14ac:dyDescent="0.25">
      <c r="A431" s="18"/>
      <c r="B431" s="17"/>
      <c r="C431" s="17"/>
      <c r="D431" s="18"/>
      <c r="E431" s="18"/>
      <c r="F431" s="17"/>
      <c r="G431" s="18"/>
      <c r="H431" s="18"/>
      <c r="I431" s="18"/>
      <c r="J431" s="15"/>
      <c r="K431" s="37"/>
      <c r="L431" s="328"/>
      <c r="M431" s="47"/>
      <c r="N431" s="263"/>
      <c r="O431" s="17"/>
      <c r="P431" s="18"/>
    </row>
    <row r="432" spans="1:16" ht="15.75" customHeight="1" x14ac:dyDescent="0.25">
      <c r="A432" s="18"/>
      <c r="B432" s="17"/>
      <c r="C432" s="17"/>
      <c r="D432" s="18"/>
      <c r="E432" s="18"/>
      <c r="F432" s="17"/>
      <c r="G432" s="18"/>
      <c r="H432" s="18"/>
      <c r="I432" s="18"/>
      <c r="J432" s="15"/>
      <c r="K432" s="37"/>
      <c r="L432" s="328"/>
      <c r="M432" s="47"/>
      <c r="N432" s="263"/>
      <c r="O432" s="17"/>
      <c r="P432" s="18"/>
    </row>
    <row r="433" spans="1:16" ht="15.75" customHeight="1" x14ac:dyDescent="0.25">
      <c r="A433" s="18"/>
      <c r="B433" s="17"/>
      <c r="C433" s="17"/>
      <c r="D433" s="18"/>
      <c r="E433" s="18"/>
      <c r="F433" s="17"/>
      <c r="G433" s="18"/>
      <c r="H433" s="18"/>
      <c r="I433" s="18"/>
      <c r="J433" s="15"/>
      <c r="K433" s="37"/>
      <c r="L433" s="328"/>
      <c r="M433" s="47"/>
      <c r="N433" s="263"/>
      <c r="O433" s="17"/>
      <c r="P433" s="18"/>
    </row>
    <row r="434" spans="1:16" ht="15.75" customHeight="1" x14ac:dyDescent="0.25">
      <c r="A434" s="18"/>
      <c r="B434" s="17"/>
      <c r="C434" s="17"/>
      <c r="D434" s="18"/>
      <c r="E434" s="18"/>
      <c r="F434" s="17"/>
      <c r="G434" s="18"/>
      <c r="H434" s="18"/>
      <c r="I434" s="18"/>
      <c r="J434" s="15"/>
      <c r="K434" s="37"/>
      <c r="L434" s="328"/>
      <c r="M434" s="47"/>
      <c r="N434" s="263"/>
      <c r="O434" s="17"/>
      <c r="P434" s="18"/>
    </row>
    <row r="435" spans="1:16" ht="15.75" customHeight="1" x14ac:dyDescent="0.25">
      <c r="A435" s="18"/>
      <c r="B435" s="17"/>
      <c r="C435" s="17"/>
      <c r="D435" s="18"/>
      <c r="E435" s="18"/>
      <c r="F435" s="17"/>
      <c r="G435" s="18"/>
      <c r="H435" s="18"/>
      <c r="I435" s="18"/>
      <c r="J435" s="15"/>
      <c r="K435" s="37"/>
      <c r="L435" s="328"/>
      <c r="M435" s="47"/>
      <c r="N435" s="263"/>
      <c r="O435" s="17"/>
      <c r="P435" s="18"/>
    </row>
    <row r="436" spans="1:16" ht="15.75" customHeight="1" x14ac:dyDescent="0.25">
      <c r="A436" s="18"/>
      <c r="B436" s="17"/>
      <c r="C436" s="17"/>
      <c r="D436" s="18"/>
      <c r="E436" s="18"/>
      <c r="F436" s="17"/>
      <c r="G436" s="18"/>
      <c r="H436" s="18"/>
      <c r="I436" s="18"/>
      <c r="J436" s="15"/>
      <c r="K436" s="37"/>
      <c r="L436" s="328"/>
      <c r="M436" s="47"/>
      <c r="N436" s="263"/>
      <c r="O436" s="17"/>
      <c r="P436" s="18"/>
    </row>
    <row r="437" spans="1:16" ht="15.75" customHeight="1" x14ac:dyDescent="0.25">
      <c r="A437" s="18"/>
      <c r="B437" s="17"/>
      <c r="C437" s="17"/>
      <c r="D437" s="18"/>
      <c r="E437" s="18"/>
      <c r="F437" s="17"/>
      <c r="G437" s="18"/>
      <c r="H437" s="18"/>
      <c r="I437" s="18"/>
      <c r="J437" s="15"/>
      <c r="K437" s="37"/>
      <c r="L437" s="328"/>
      <c r="M437" s="47"/>
      <c r="N437" s="263"/>
      <c r="O437" s="17"/>
      <c r="P437" s="18"/>
    </row>
    <row r="438" spans="1:16" ht="15.75" customHeight="1" x14ac:dyDescent="0.25">
      <c r="A438" s="18"/>
      <c r="B438" s="17"/>
      <c r="C438" s="17"/>
      <c r="D438" s="18"/>
      <c r="E438" s="18"/>
      <c r="F438" s="17"/>
      <c r="G438" s="18"/>
      <c r="H438" s="18"/>
      <c r="I438" s="18"/>
      <c r="J438" s="15"/>
      <c r="K438" s="37"/>
      <c r="L438" s="328"/>
      <c r="M438" s="47"/>
      <c r="N438" s="263"/>
      <c r="O438" s="17"/>
      <c r="P438" s="18"/>
    </row>
    <row r="439" spans="1:16" ht="15.75" customHeight="1" x14ac:dyDescent="0.25">
      <c r="A439" s="18"/>
      <c r="B439" s="17"/>
      <c r="C439" s="17"/>
      <c r="D439" s="18"/>
      <c r="E439" s="18"/>
      <c r="F439" s="17"/>
      <c r="G439" s="18"/>
      <c r="H439" s="18"/>
      <c r="I439" s="18"/>
      <c r="J439" s="15"/>
      <c r="K439" s="37"/>
      <c r="L439" s="328"/>
      <c r="M439" s="47"/>
      <c r="N439" s="263"/>
      <c r="O439" s="17"/>
      <c r="P439" s="18"/>
    </row>
    <row r="440" spans="1:16" ht="15.75" customHeight="1" x14ac:dyDescent="0.25">
      <c r="A440" s="18"/>
      <c r="B440" s="17"/>
      <c r="C440" s="17"/>
      <c r="D440" s="18"/>
      <c r="E440" s="18"/>
      <c r="F440" s="17"/>
      <c r="G440" s="18"/>
      <c r="H440" s="18"/>
      <c r="I440" s="18"/>
      <c r="J440" s="15"/>
      <c r="K440" s="37"/>
      <c r="L440" s="328"/>
      <c r="M440" s="47"/>
      <c r="N440" s="263"/>
      <c r="O440" s="17"/>
      <c r="P440" s="18"/>
    </row>
    <row r="441" spans="1:16" ht="15.75" customHeight="1" x14ac:dyDescent="0.25">
      <c r="A441" s="18"/>
      <c r="B441" s="17"/>
      <c r="C441" s="17"/>
      <c r="D441" s="18"/>
      <c r="E441" s="18"/>
      <c r="F441" s="17"/>
      <c r="G441" s="18"/>
      <c r="H441" s="18"/>
      <c r="I441" s="18"/>
      <c r="J441" s="15"/>
      <c r="K441" s="37"/>
      <c r="L441" s="328"/>
      <c r="M441" s="47"/>
      <c r="N441" s="263"/>
      <c r="O441" s="17"/>
      <c r="P441" s="18"/>
    </row>
    <row r="442" spans="1:16" ht="15.75" customHeight="1" x14ac:dyDescent="0.25">
      <c r="A442" s="18"/>
      <c r="B442" s="17"/>
      <c r="C442" s="17"/>
      <c r="D442" s="18"/>
      <c r="E442" s="18"/>
      <c r="F442" s="17"/>
      <c r="G442" s="18"/>
      <c r="H442" s="18"/>
      <c r="I442" s="18"/>
      <c r="J442" s="15"/>
      <c r="K442" s="37"/>
      <c r="L442" s="328"/>
      <c r="M442" s="47"/>
      <c r="N442" s="263"/>
      <c r="O442" s="17"/>
      <c r="P442" s="18"/>
    </row>
    <row r="443" spans="1:16" ht="15.75" customHeight="1" x14ac:dyDescent="0.25">
      <c r="A443" s="18"/>
      <c r="B443" s="17"/>
      <c r="C443" s="17"/>
      <c r="D443" s="18"/>
      <c r="E443" s="18"/>
      <c r="F443" s="17"/>
      <c r="G443" s="18"/>
      <c r="H443" s="18"/>
      <c r="I443" s="18"/>
      <c r="J443" s="15"/>
      <c r="K443" s="37"/>
      <c r="L443" s="328"/>
      <c r="M443" s="47"/>
      <c r="N443" s="263"/>
      <c r="O443" s="17"/>
      <c r="P443" s="18"/>
    </row>
    <row r="444" spans="1:16" ht="15.75" customHeight="1" x14ac:dyDescent="0.25">
      <c r="A444" s="18"/>
      <c r="B444" s="17"/>
      <c r="C444" s="17"/>
      <c r="D444" s="18"/>
      <c r="E444" s="18"/>
      <c r="F444" s="17"/>
      <c r="G444" s="18"/>
      <c r="H444" s="18"/>
      <c r="I444" s="18"/>
      <c r="J444" s="15"/>
      <c r="K444" s="37"/>
      <c r="L444" s="328"/>
      <c r="M444" s="47"/>
      <c r="N444" s="263"/>
      <c r="O444" s="17"/>
      <c r="P444" s="18"/>
    </row>
    <row r="445" spans="1:16" ht="15.75" customHeight="1" x14ac:dyDescent="0.25">
      <c r="A445" s="18"/>
      <c r="B445" s="17"/>
      <c r="C445" s="17"/>
      <c r="D445" s="18"/>
      <c r="E445" s="18"/>
      <c r="F445" s="17"/>
      <c r="G445" s="18"/>
      <c r="H445" s="18"/>
      <c r="I445" s="18"/>
      <c r="J445" s="15"/>
      <c r="K445" s="37"/>
      <c r="L445" s="328"/>
      <c r="M445" s="47"/>
      <c r="N445" s="263"/>
      <c r="O445" s="17"/>
      <c r="P445" s="18"/>
    </row>
    <row r="446" spans="1:16" ht="15.75" customHeight="1" x14ac:dyDescent="0.25">
      <c r="A446" s="18"/>
      <c r="B446" s="17"/>
      <c r="C446" s="17"/>
      <c r="D446" s="18"/>
      <c r="E446" s="18"/>
      <c r="F446" s="17"/>
      <c r="G446" s="18"/>
      <c r="H446" s="18"/>
      <c r="I446" s="18"/>
      <c r="J446" s="15"/>
      <c r="K446" s="37"/>
      <c r="L446" s="328"/>
      <c r="M446" s="47"/>
      <c r="N446" s="263"/>
      <c r="O446" s="17"/>
      <c r="P446" s="18"/>
    </row>
    <row r="447" spans="1:16" ht="15.75" customHeight="1" x14ac:dyDescent="0.25">
      <c r="A447" s="18"/>
      <c r="B447" s="17"/>
      <c r="C447" s="17"/>
      <c r="D447" s="18"/>
      <c r="E447" s="18"/>
      <c r="F447" s="17"/>
      <c r="G447" s="18"/>
      <c r="H447" s="18"/>
      <c r="I447" s="18"/>
      <c r="J447" s="15"/>
      <c r="K447" s="37"/>
      <c r="L447" s="328"/>
      <c r="M447" s="47"/>
      <c r="N447" s="263"/>
      <c r="O447" s="17"/>
      <c r="P447" s="18"/>
    </row>
    <row r="448" spans="1:16" ht="15.75" customHeight="1" x14ac:dyDescent="0.25">
      <c r="A448" s="18"/>
      <c r="B448" s="17"/>
      <c r="C448" s="17"/>
      <c r="D448" s="18"/>
      <c r="E448" s="18"/>
      <c r="F448" s="17"/>
      <c r="G448" s="18"/>
      <c r="H448" s="18"/>
      <c r="I448" s="18"/>
      <c r="J448" s="15"/>
      <c r="K448" s="37"/>
      <c r="L448" s="328"/>
      <c r="M448" s="47"/>
      <c r="N448" s="263"/>
      <c r="O448" s="17"/>
      <c r="P448" s="18"/>
    </row>
    <row r="449" spans="1:16" ht="15.75" customHeight="1" x14ac:dyDescent="0.25">
      <c r="A449" s="18"/>
      <c r="B449" s="17"/>
      <c r="C449" s="17"/>
      <c r="D449" s="18"/>
      <c r="E449" s="18"/>
      <c r="F449" s="17"/>
      <c r="G449" s="18"/>
      <c r="H449" s="18"/>
      <c r="I449" s="18"/>
      <c r="J449" s="15"/>
      <c r="K449" s="37"/>
      <c r="L449" s="328"/>
      <c r="M449" s="47"/>
      <c r="N449" s="263"/>
      <c r="O449" s="17"/>
      <c r="P449" s="18"/>
    </row>
    <row r="450" spans="1:16" ht="15.75" customHeight="1" x14ac:dyDescent="0.25">
      <c r="A450" s="18"/>
      <c r="B450" s="17"/>
      <c r="C450" s="17"/>
      <c r="D450" s="18"/>
      <c r="E450" s="18"/>
      <c r="F450" s="17"/>
      <c r="G450" s="18"/>
      <c r="H450" s="18"/>
      <c r="I450" s="18"/>
      <c r="J450" s="15"/>
      <c r="K450" s="37"/>
      <c r="L450" s="328"/>
      <c r="M450" s="47"/>
      <c r="N450" s="263"/>
      <c r="O450" s="17"/>
      <c r="P450" s="18"/>
    </row>
    <row r="451" spans="1:16" ht="15.75" customHeight="1" x14ac:dyDescent="0.25">
      <c r="A451" s="18"/>
      <c r="B451" s="17"/>
      <c r="C451" s="17"/>
      <c r="D451" s="18"/>
      <c r="E451" s="18"/>
      <c r="F451" s="17"/>
      <c r="G451" s="18"/>
      <c r="H451" s="18"/>
      <c r="I451" s="18"/>
      <c r="J451" s="15"/>
      <c r="K451" s="37"/>
      <c r="L451" s="328"/>
      <c r="M451" s="47"/>
      <c r="N451" s="263"/>
      <c r="O451" s="17"/>
      <c r="P451" s="18"/>
    </row>
    <row r="452" spans="1:16" ht="15.75" customHeight="1" x14ac:dyDescent="0.25">
      <c r="A452" s="18"/>
      <c r="B452" s="17"/>
      <c r="C452" s="17"/>
      <c r="D452" s="18"/>
      <c r="E452" s="18"/>
      <c r="F452" s="17"/>
      <c r="G452" s="18"/>
      <c r="H452" s="18"/>
      <c r="I452" s="18"/>
      <c r="J452" s="15"/>
      <c r="K452" s="37"/>
      <c r="L452" s="328"/>
      <c r="M452" s="47"/>
      <c r="N452" s="263"/>
      <c r="O452" s="17"/>
      <c r="P452" s="18"/>
    </row>
    <row r="453" spans="1:16" ht="15.75" customHeight="1" x14ac:dyDescent="0.25">
      <c r="A453" s="18"/>
      <c r="B453" s="17"/>
      <c r="C453" s="17"/>
      <c r="D453" s="18"/>
      <c r="E453" s="18"/>
      <c r="F453" s="17"/>
      <c r="G453" s="18"/>
      <c r="H453" s="18"/>
      <c r="I453" s="18"/>
      <c r="J453" s="15"/>
      <c r="K453" s="37"/>
      <c r="L453" s="328"/>
      <c r="M453" s="47"/>
      <c r="N453" s="263"/>
      <c r="O453" s="17"/>
      <c r="P453" s="18"/>
    </row>
    <row r="454" spans="1:16" ht="15.75" customHeight="1" x14ac:dyDescent="0.25">
      <c r="A454" s="18"/>
      <c r="B454" s="17"/>
      <c r="C454" s="17"/>
      <c r="D454" s="18"/>
      <c r="E454" s="18"/>
      <c r="F454" s="17"/>
      <c r="G454" s="18"/>
      <c r="H454" s="18"/>
      <c r="I454" s="18"/>
      <c r="J454" s="15"/>
      <c r="K454" s="37"/>
      <c r="L454" s="328"/>
      <c r="M454" s="47"/>
      <c r="N454" s="263"/>
      <c r="O454" s="17"/>
      <c r="P454" s="18"/>
    </row>
    <row r="455" spans="1:16" ht="15.75" customHeight="1" x14ac:dyDescent="0.25">
      <c r="A455" s="18"/>
      <c r="B455" s="17"/>
      <c r="C455" s="17"/>
      <c r="D455" s="18"/>
      <c r="E455" s="18"/>
      <c r="F455" s="17"/>
      <c r="G455" s="18"/>
      <c r="H455" s="18"/>
      <c r="I455" s="18"/>
      <c r="J455" s="15"/>
      <c r="K455" s="37"/>
      <c r="L455" s="328"/>
      <c r="M455" s="47"/>
      <c r="N455" s="263"/>
      <c r="O455" s="17"/>
      <c r="P455" s="18"/>
    </row>
    <row r="456" spans="1:16" ht="15.75" customHeight="1" x14ac:dyDescent="0.25">
      <c r="A456" s="18"/>
      <c r="B456" s="17"/>
      <c r="C456" s="17"/>
      <c r="D456" s="18"/>
      <c r="E456" s="18"/>
      <c r="F456" s="17"/>
      <c r="G456" s="18"/>
      <c r="H456" s="18"/>
      <c r="I456" s="18"/>
      <c r="J456" s="15"/>
      <c r="K456" s="37"/>
      <c r="L456" s="328"/>
      <c r="M456" s="47"/>
      <c r="N456" s="263"/>
      <c r="O456" s="17"/>
      <c r="P456" s="18"/>
    </row>
    <row r="457" spans="1:16" ht="15.75" customHeight="1" x14ac:dyDescent="0.25">
      <c r="A457" s="18"/>
      <c r="B457" s="17"/>
      <c r="C457" s="17"/>
      <c r="D457" s="18"/>
      <c r="E457" s="18"/>
      <c r="F457" s="17"/>
      <c r="G457" s="18"/>
      <c r="H457" s="18"/>
      <c r="I457" s="18"/>
      <c r="J457" s="15"/>
      <c r="K457" s="37"/>
      <c r="L457" s="328"/>
      <c r="M457" s="47"/>
      <c r="N457" s="263"/>
      <c r="O457" s="17"/>
      <c r="P457" s="18"/>
    </row>
    <row r="458" spans="1:16" ht="15.75" customHeight="1" x14ac:dyDescent="0.25">
      <c r="A458" s="18"/>
      <c r="B458" s="17"/>
      <c r="C458" s="17"/>
      <c r="D458" s="18"/>
      <c r="E458" s="18"/>
      <c r="F458" s="17"/>
      <c r="G458" s="18"/>
      <c r="H458" s="18"/>
      <c r="I458" s="18"/>
      <c r="J458" s="15"/>
      <c r="K458" s="37"/>
      <c r="L458" s="328"/>
      <c r="M458" s="47"/>
      <c r="N458" s="263"/>
      <c r="O458" s="17"/>
      <c r="P458" s="18"/>
    </row>
    <row r="459" spans="1:16" ht="15.75" customHeight="1" x14ac:dyDescent="0.25">
      <c r="A459" s="18"/>
      <c r="B459" s="17"/>
      <c r="C459" s="17"/>
      <c r="D459" s="18"/>
      <c r="E459" s="18"/>
      <c r="F459" s="17"/>
      <c r="G459" s="18"/>
      <c r="H459" s="18"/>
      <c r="I459" s="18"/>
      <c r="J459" s="15"/>
      <c r="K459" s="37"/>
      <c r="L459" s="328"/>
      <c r="M459" s="47"/>
      <c r="N459" s="263"/>
      <c r="O459" s="17"/>
      <c r="P459" s="18"/>
    </row>
    <row r="460" spans="1:16" ht="15.75" customHeight="1" x14ac:dyDescent="0.25">
      <c r="A460" s="18"/>
      <c r="B460" s="17"/>
      <c r="C460" s="17"/>
      <c r="D460" s="18"/>
      <c r="E460" s="18"/>
      <c r="F460" s="17"/>
      <c r="G460" s="18"/>
      <c r="H460" s="18"/>
      <c r="I460" s="18"/>
      <c r="J460" s="15"/>
      <c r="K460" s="37"/>
      <c r="L460" s="328"/>
      <c r="M460" s="47"/>
      <c r="N460" s="263"/>
      <c r="O460" s="17"/>
      <c r="P460" s="18"/>
    </row>
    <row r="461" spans="1:16" ht="15.75" customHeight="1" x14ac:dyDescent="0.25">
      <c r="A461" s="18"/>
      <c r="B461" s="17"/>
      <c r="C461" s="17"/>
      <c r="D461" s="18"/>
      <c r="E461" s="18"/>
      <c r="F461" s="17"/>
      <c r="G461" s="18"/>
      <c r="H461" s="18"/>
      <c r="I461" s="18"/>
      <c r="J461" s="15"/>
      <c r="K461" s="37"/>
      <c r="L461" s="328"/>
      <c r="M461" s="47"/>
      <c r="N461" s="263"/>
      <c r="O461" s="17"/>
      <c r="P461" s="18"/>
    </row>
    <row r="462" spans="1:16" ht="15.75" customHeight="1" x14ac:dyDescent="0.25">
      <c r="A462" s="18"/>
      <c r="B462" s="17"/>
      <c r="C462" s="17"/>
      <c r="D462" s="18"/>
      <c r="E462" s="18"/>
      <c r="F462" s="17"/>
      <c r="G462" s="18"/>
      <c r="H462" s="18"/>
      <c r="I462" s="18"/>
      <c r="J462" s="15"/>
      <c r="K462" s="37"/>
      <c r="L462" s="328"/>
      <c r="M462" s="47"/>
      <c r="N462" s="263"/>
      <c r="O462" s="17"/>
      <c r="P462" s="18"/>
    </row>
    <row r="463" spans="1:16" ht="15.75" customHeight="1" x14ac:dyDescent="0.25">
      <c r="A463" s="18"/>
      <c r="B463" s="17"/>
      <c r="C463" s="17"/>
      <c r="D463" s="18"/>
      <c r="E463" s="18"/>
      <c r="F463" s="17"/>
      <c r="G463" s="18"/>
      <c r="H463" s="18"/>
      <c r="I463" s="18"/>
      <c r="J463" s="15"/>
      <c r="K463" s="37"/>
      <c r="L463" s="328"/>
      <c r="M463" s="47"/>
      <c r="N463" s="263"/>
      <c r="O463" s="17"/>
      <c r="P463" s="18"/>
    </row>
    <row r="464" spans="1:16" ht="15.75" customHeight="1" x14ac:dyDescent="0.25">
      <c r="A464" s="18"/>
      <c r="B464" s="17"/>
      <c r="C464" s="17"/>
      <c r="D464" s="18"/>
      <c r="E464" s="18"/>
      <c r="F464" s="17"/>
      <c r="G464" s="18"/>
      <c r="H464" s="18"/>
      <c r="I464" s="18"/>
      <c r="J464" s="15"/>
      <c r="K464" s="37"/>
      <c r="L464" s="328"/>
      <c r="M464" s="47"/>
      <c r="N464" s="263"/>
      <c r="O464" s="17"/>
      <c r="P464" s="18"/>
    </row>
    <row r="465" spans="1:16" ht="15.75" customHeight="1" x14ac:dyDescent="0.25">
      <c r="A465" s="18"/>
      <c r="B465" s="17"/>
      <c r="C465" s="17"/>
      <c r="D465" s="18"/>
      <c r="E465" s="18"/>
      <c r="F465" s="17"/>
      <c r="G465" s="18"/>
      <c r="H465" s="18"/>
      <c r="I465" s="18"/>
      <c r="J465" s="15"/>
      <c r="K465" s="37"/>
      <c r="L465" s="328"/>
      <c r="M465" s="47"/>
      <c r="N465" s="263"/>
      <c r="O465" s="17"/>
      <c r="P465" s="18"/>
    </row>
    <row r="466" spans="1:16" ht="15.75" customHeight="1" x14ac:dyDescent="0.25">
      <c r="A466" s="18"/>
      <c r="B466" s="17"/>
      <c r="C466" s="17"/>
      <c r="D466" s="18"/>
      <c r="E466" s="18"/>
      <c r="F466" s="17"/>
      <c r="G466" s="18"/>
      <c r="H466" s="18"/>
      <c r="I466" s="18"/>
      <c r="J466" s="15"/>
      <c r="K466" s="37"/>
      <c r="L466" s="328"/>
      <c r="M466" s="47"/>
      <c r="N466" s="263"/>
      <c r="O466" s="17"/>
      <c r="P466" s="18"/>
    </row>
    <row r="467" spans="1:16" ht="15.75" customHeight="1" x14ac:dyDescent="0.25">
      <c r="A467" s="18"/>
      <c r="B467" s="17"/>
      <c r="C467" s="17"/>
      <c r="D467" s="18"/>
      <c r="E467" s="18"/>
      <c r="F467" s="17"/>
      <c r="G467" s="18"/>
      <c r="H467" s="18"/>
      <c r="I467" s="18"/>
      <c r="J467" s="15"/>
      <c r="K467" s="37"/>
      <c r="L467" s="328"/>
      <c r="M467" s="47"/>
      <c r="N467" s="263"/>
      <c r="O467" s="17"/>
      <c r="P467" s="18"/>
    </row>
    <row r="468" spans="1:16" ht="15.75" customHeight="1" x14ac:dyDescent="0.25">
      <c r="A468" s="18"/>
      <c r="B468" s="17"/>
      <c r="C468" s="17"/>
      <c r="D468" s="18"/>
      <c r="E468" s="18"/>
      <c r="F468" s="17"/>
      <c r="G468" s="18"/>
      <c r="H468" s="18"/>
      <c r="I468" s="18"/>
      <c r="J468" s="15"/>
      <c r="K468" s="37"/>
      <c r="L468" s="328"/>
      <c r="M468" s="47"/>
      <c r="N468" s="263"/>
      <c r="O468" s="17"/>
      <c r="P468" s="18"/>
    </row>
    <row r="469" spans="1:16" ht="15.75" customHeight="1" x14ac:dyDescent="0.25">
      <c r="A469" s="18"/>
      <c r="B469" s="17"/>
      <c r="C469" s="17"/>
      <c r="D469" s="18"/>
      <c r="E469" s="18"/>
      <c r="F469" s="17"/>
      <c r="G469" s="18"/>
      <c r="H469" s="18"/>
      <c r="I469" s="18"/>
      <c r="J469" s="15"/>
      <c r="K469" s="37"/>
      <c r="L469" s="328"/>
      <c r="M469" s="47"/>
      <c r="N469" s="263"/>
      <c r="O469" s="17"/>
      <c r="P469" s="18"/>
    </row>
    <row r="470" spans="1:16" ht="15.75" customHeight="1" x14ac:dyDescent="0.25">
      <c r="A470" s="18"/>
      <c r="B470" s="17"/>
      <c r="C470" s="17"/>
      <c r="D470" s="18"/>
      <c r="E470" s="18"/>
      <c r="F470" s="17"/>
      <c r="G470" s="18"/>
      <c r="H470" s="18"/>
      <c r="I470" s="18"/>
      <c r="J470" s="15"/>
      <c r="K470" s="37"/>
      <c r="L470" s="328"/>
      <c r="M470" s="47"/>
      <c r="N470" s="263"/>
      <c r="O470" s="17"/>
      <c r="P470" s="18"/>
    </row>
    <row r="471" spans="1:16" ht="15.75" customHeight="1" x14ac:dyDescent="0.25">
      <c r="A471" s="18"/>
      <c r="B471" s="17"/>
      <c r="C471" s="17"/>
      <c r="D471" s="18"/>
      <c r="E471" s="18"/>
      <c r="F471" s="17"/>
      <c r="G471" s="18"/>
      <c r="H471" s="18"/>
      <c r="I471" s="18"/>
      <c r="J471" s="15"/>
      <c r="K471" s="37"/>
      <c r="L471" s="328"/>
      <c r="M471" s="47"/>
      <c r="N471" s="263"/>
      <c r="O471" s="17"/>
      <c r="P471" s="18"/>
    </row>
    <row r="472" spans="1:16" ht="15.75" customHeight="1" x14ac:dyDescent="0.25">
      <c r="A472" s="18"/>
      <c r="B472" s="17"/>
      <c r="C472" s="17"/>
      <c r="D472" s="18"/>
      <c r="E472" s="18"/>
      <c r="F472" s="17"/>
      <c r="G472" s="18"/>
      <c r="H472" s="18"/>
      <c r="I472" s="18"/>
      <c r="J472" s="15"/>
      <c r="K472" s="37"/>
      <c r="L472" s="328"/>
      <c r="M472" s="47"/>
      <c r="N472" s="263"/>
      <c r="O472" s="17"/>
      <c r="P472" s="18"/>
    </row>
    <row r="473" spans="1:16" ht="15.75" customHeight="1" x14ac:dyDescent="0.25">
      <c r="A473" s="18"/>
      <c r="B473" s="17"/>
      <c r="C473" s="17"/>
      <c r="D473" s="18"/>
      <c r="E473" s="18"/>
      <c r="F473" s="17"/>
      <c r="G473" s="18"/>
      <c r="H473" s="18"/>
      <c r="I473" s="18"/>
      <c r="J473" s="15"/>
      <c r="K473" s="37"/>
      <c r="L473" s="328"/>
      <c r="M473" s="47"/>
      <c r="N473" s="263"/>
      <c r="O473" s="17"/>
      <c r="P473" s="18"/>
    </row>
    <row r="474" spans="1:16" ht="15.75" customHeight="1" x14ac:dyDescent="0.25">
      <c r="A474" s="18"/>
      <c r="B474" s="17"/>
      <c r="C474" s="17"/>
      <c r="D474" s="18"/>
      <c r="E474" s="18"/>
      <c r="F474" s="17"/>
      <c r="G474" s="18"/>
      <c r="H474" s="18"/>
      <c r="I474" s="18"/>
      <c r="J474" s="15"/>
      <c r="K474" s="37"/>
      <c r="L474" s="328"/>
      <c r="M474" s="47"/>
      <c r="N474" s="263"/>
      <c r="O474" s="17"/>
      <c r="P474" s="18"/>
    </row>
    <row r="475" spans="1:16" ht="15.75" customHeight="1" x14ac:dyDescent="0.25">
      <c r="A475" s="18"/>
      <c r="B475" s="17"/>
      <c r="C475" s="17"/>
      <c r="D475" s="18"/>
      <c r="E475" s="18"/>
      <c r="F475" s="17"/>
      <c r="G475" s="18"/>
      <c r="H475" s="18"/>
      <c r="I475" s="18"/>
      <c r="J475" s="15"/>
      <c r="K475" s="37"/>
      <c r="L475" s="328"/>
      <c r="M475" s="47"/>
      <c r="N475" s="263"/>
      <c r="O475" s="17"/>
      <c r="P475" s="18"/>
    </row>
    <row r="476" spans="1:16" ht="15.75" customHeight="1" x14ac:dyDescent="0.25">
      <c r="A476" s="18"/>
      <c r="B476" s="17"/>
      <c r="C476" s="17"/>
      <c r="D476" s="18"/>
      <c r="E476" s="18"/>
      <c r="F476" s="17"/>
      <c r="G476" s="18"/>
      <c r="H476" s="18"/>
      <c r="I476" s="18"/>
      <c r="J476" s="15"/>
      <c r="K476" s="37"/>
      <c r="L476" s="328"/>
      <c r="M476" s="47"/>
      <c r="N476" s="263"/>
      <c r="O476" s="17"/>
      <c r="P476" s="18"/>
    </row>
    <row r="477" spans="1:16" ht="15.75" customHeight="1" x14ac:dyDescent="0.25">
      <c r="A477" s="18"/>
      <c r="B477" s="17"/>
      <c r="C477" s="17"/>
      <c r="D477" s="18"/>
      <c r="E477" s="18"/>
      <c r="F477" s="17"/>
      <c r="G477" s="18"/>
      <c r="H477" s="18"/>
      <c r="I477" s="18"/>
      <c r="J477" s="15"/>
      <c r="K477" s="37"/>
      <c r="L477" s="328"/>
      <c r="M477" s="47"/>
      <c r="N477" s="263"/>
      <c r="O477" s="17"/>
      <c r="P477" s="18"/>
    </row>
    <row r="478" spans="1:16" ht="15.75" customHeight="1" x14ac:dyDescent="0.25">
      <c r="A478" s="18"/>
      <c r="B478" s="17"/>
      <c r="C478" s="17"/>
      <c r="D478" s="18"/>
      <c r="E478" s="18"/>
      <c r="F478" s="17"/>
      <c r="G478" s="18"/>
      <c r="H478" s="18"/>
      <c r="I478" s="18"/>
      <c r="J478" s="15"/>
      <c r="K478" s="37"/>
      <c r="L478" s="328"/>
      <c r="M478" s="47"/>
      <c r="N478" s="263"/>
      <c r="O478" s="17"/>
      <c r="P478" s="18"/>
    </row>
    <row r="479" spans="1:16" ht="15.75" customHeight="1" x14ac:dyDescent="0.25">
      <c r="A479" s="18"/>
      <c r="B479" s="17"/>
      <c r="C479" s="17"/>
      <c r="D479" s="18"/>
      <c r="E479" s="18"/>
      <c r="F479" s="17"/>
      <c r="G479" s="18"/>
      <c r="H479" s="18"/>
      <c r="I479" s="18"/>
      <c r="J479" s="15"/>
      <c r="K479" s="37"/>
      <c r="L479" s="328"/>
      <c r="M479" s="47"/>
      <c r="N479" s="263"/>
      <c r="O479" s="17"/>
      <c r="P479" s="18"/>
    </row>
    <row r="480" spans="1:16" ht="15.75" customHeight="1" x14ac:dyDescent="0.25">
      <c r="A480" s="18"/>
      <c r="B480" s="17"/>
      <c r="C480" s="17"/>
      <c r="D480" s="18"/>
      <c r="E480" s="18"/>
      <c r="F480" s="17"/>
      <c r="G480" s="18"/>
      <c r="H480" s="18"/>
      <c r="I480" s="18"/>
      <c r="J480" s="15"/>
      <c r="K480" s="37"/>
      <c r="L480" s="328"/>
      <c r="M480" s="47"/>
      <c r="N480" s="263"/>
      <c r="O480" s="17"/>
      <c r="P480" s="18"/>
    </row>
    <row r="481" spans="1:16" ht="15.75" customHeight="1" x14ac:dyDescent="0.25">
      <c r="A481" s="18"/>
      <c r="B481" s="17"/>
      <c r="C481" s="17"/>
      <c r="D481" s="18"/>
      <c r="E481" s="18"/>
      <c r="F481" s="17"/>
      <c r="G481" s="18"/>
      <c r="H481" s="18"/>
      <c r="I481" s="18"/>
      <c r="J481" s="15"/>
      <c r="K481" s="37"/>
      <c r="L481" s="328"/>
      <c r="M481" s="47"/>
      <c r="N481" s="263"/>
      <c r="O481" s="17"/>
      <c r="P481" s="18"/>
    </row>
    <row r="482" spans="1:16" ht="15.75" customHeight="1" x14ac:dyDescent="0.25">
      <c r="A482" s="18"/>
      <c r="B482" s="17"/>
      <c r="C482" s="17"/>
      <c r="D482" s="18"/>
      <c r="E482" s="18"/>
      <c r="F482" s="17"/>
      <c r="G482" s="18"/>
      <c r="H482" s="18"/>
      <c r="I482" s="18"/>
      <c r="J482" s="15"/>
      <c r="K482" s="37"/>
      <c r="L482" s="328"/>
      <c r="M482" s="47"/>
      <c r="N482" s="263"/>
      <c r="O482" s="17"/>
      <c r="P482" s="18"/>
    </row>
    <row r="483" spans="1:16" ht="15.75" customHeight="1" x14ac:dyDescent="0.25">
      <c r="A483" s="18"/>
      <c r="B483" s="17"/>
      <c r="C483" s="17"/>
      <c r="D483" s="18"/>
      <c r="E483" s="18"/>
      <c r="F483" s="17"/>
      <c r="G483" s="18"/>
      <c r="H483" s="18"/>
      <c r="I483" s="18"/>
      <c r="J483" s="15"/>
      <c r="K483" s="37"/>
      <c r="L483" s="328"/>
      <c r="M483" s="47"/>
      <c r="N483" s="263"/>
      <c r="O483" s="17"/>
      <c r="P483" s="18"/>
    </row>
    <row r="484" spans="1:16" ht="15.75" customHeight="1" x14ac:dyDescent="0.25">
      <c r="A484" s="18"/>
      <c r="B484" s="17"/>
      <c r="C484" s="17"/>
      <c r="D484" s="18"/>
      <c r="E484" s="18"/>
      <c r="F484" s="17"/>
      <c r="G484" s="18"/>
      <c r="H484" s="18"/>
      <c r="I484" s="18"/>
      <c r="J484" s="15"/>
      <c r="K484" s="37"/>
      <c r="L484" s="328"/>
      <c r="M484" s="47"/>
      <c r="N484" s="263"/>
      <c r="O484" s="17"/>
      <c r="P484" s="18"/>
    </row>
    <row r="485" spans="1:16" ht="15.75" customHeight="1" x14ac:dyDescent="0.25">
      <c r="A485" s="18"/>
      <c r="B485" s="17"/>
      <c r="C485" s="17"/>
      <c r="D485" s="18"/>
      <c r="E485" s="18"/>
      <c r="F485" s="17"/>
      <c r="G485" s="18"/>
      <c r="H485" s="18"/>
      <c r="I485" s="18"/>
      <c r="J485" s="15"/>
      <c r="K485" s="37"/>
      <c r="L485" s="328"/>
      <c r="M485" s="47"/>
      <c r="N485" s="263"/>
      <c r="O485" s="17"/>
      <c r="P485" s="18"/>
    </row>
    <row r="486" spans="1:16" ht="15.75" customHeight="1" x14ac:dyDescent="0.25">
      <c r="A486" s="18"/>
      <c r="B486" s="17"/>
      <c r="C486" s="17"/>
      <c r="D486" s="18"/>
      <c r="E486" s="18"/>
      <c r="F486" s="17"/>
      <c r="G486" s="18"/>
      <c r="H486" s="18"/>
      <c r="I486" s="18"/>
      <c r="J486" s="15"/>
      <c r="K486" s="37"/>
      <c r="L486" s="328"/>
      <c r="M486" s="47"/>
      <c r="N486" s="263"/>
      <c r="O486" s="17"/>
      <c r="P486" s="18"/>
    </row>
    <row r="487" spans="1:16" ht="15.75" customHeight="1" x14ac:dyDescent="0.25">
      <c r="A487" s="18"/>
      <c r="B487" s="17"/>
      <c r="C487" s="17"/>
      <c r="D487" s="18"/>
      <c r="E487" s="18"/>
      <c r="F487" s="17"/>
      <c r="G487" s="18"/>
      <c r="H487" s="18"/>
      <c r="I487" s="18"/>
      <c r="J487" s="15"/>
      <c r="K487" s="37"/>
      <c r="L487" s="328"/>
      <c r="M487" s="47"/>
      <c r="N487" s="263"/>
      <c r="O487" s="17"/>
      <c r="P487" s="18"/>
    </row>
    <row r="488" spans="1:16" ht="15.75" customHeight="1" x14ac:dyDescent="0.25">
      <c r="A488" s="18"/>
      <c r="B488" s="17"/>
      <c r="C488" s="17"/>
      <c r="D488" s="18"/>
      <c r="E488" s="18"/>
      <c r="F488" s="17"/>
      <c r="G488" s="18"/>
      <c r="H488" s="18"/>
      <c r="I488" s="18"/>
      <c r="J488" s="15"/>
      <c r="K488" s="37"/>
      <c r="L488" s="328"/>
      <c r="M488" s="47"/>
      <c r="N488" s="263"/>
      <c r="O488" s="17"/>
      <c r="P488" s="18"/>
    </row>
    <row r="489" spans="1:16" ht="15.75" customHeight="1" x14ac:dyDescent="0.25">
      <c r="A489" s="18"/>
      <c r="B489" s="17"/>
      <c r="C489" s="17"/>
      <c r="D489" s="18"/>
      <c r="E489" s="18"/>
      <c r="F489" s="17"/>
      <c r="G489" s="18"/>
      <c r="H489" s="18"/>
      <c r="I489" s="18"/>
      <c r="J489" s="15"/>
      <c r="K489" s="37"/>
      <c r="L489" s="328"/>
      <c r="M489" s="47"/>
      <c r="N489" s="263"/>
      <c r="O489" s="17"/>
      <c r="P489" s="18"/>
    </row>
    <row r="490" spans="1:16" ht="15.75" customHeight="1" x14ac:dyDescent="0.25">
      <c r="A490" s="18"/>
      <c r="B490" s="17"/>
      <c r="C490" s="17"/>
      <c r="D490" s="18"/>
      <c r="E490" s="18"/>
      <c r="F490" s="17"/>
      <c r="G490" s="18"/>
      <c r="H490" s="18"/>
      <c r="I490" s="18"/>
      <c r="J490" s="15"/>
      <c r="K490" s="37"/>
      <c r="L490" s="328"/>
      <c r="M490" s="47"/>
      <c r="N490" s="263"/>
      <c r="O490" s="17"/>
      <c r="P490" s="18"/>
    </row>
    <row r="491" spans="1:16" ht="15.75" customHeight="1" x14ac:dyDescent="0.25">
      <c r="A491" s="18"/>
      <c r="B491" s="17"/>
      <c r="C491" s="17"/>
      <c r="D491" s="18"/>
      <c r="E491" s="18"/>
      <c r="F491" s="17"/>
      <c r="G491" s="18"/>
      <c r="H491" s="18"/>
      <c r="I491" s="18"/>
      <c r="J491" s="15"/>
      <c r="K491" s="37"/>
      <c r="L491" s="328"/>
      <c r="M491" s="47"/>
      <c r="N491" s="263"/>
      <c r="O491" s="17"/>
      <c r="P491" s="18"/>
    </row>
    <row r="492" spans="1:16" ht="15.75" customHeight="1" x14ac:dyDescent="0.25">
      <c r="A492" s="18"/>
      <c r="B492" s="17"/>
      <c r="C492" s="17"/>
      <c r="D492" s="18"/>
      <c r="E492" s="18"/>
      <c r="F492" s="17"/>
      <c r="G492" s="18"/>
      <c r="H492" s="18"/>
      <c r="I492" s="18"/>
      <c r="J492" s="15"/>
      <c r="K492" s="37"/>
      <c r="L492" s="328"/>
      <c r="M492" s="47"/>
      <c r="N492" s="263"/>
      <c r="O492" s="17"/>
      <c r="P492" s="18"/>
    </row>
    <row r="493" spans="1:16" ht="15.75" customHeight="1" x14ac:dyDescent="0.25">
      <c r="A493" s="18"/>
      <c r="B493" s="17"/>
      <c r="C493" s="17"/>
      <c r="D493" s="18"/>
      <c r="E493" s="18"/>
      <c r="F493" s="17"/>
      <c r="G493" s="18"/>
      <c r="H493" s="18"/>
      <c r="I493" s="18"/>
      <c r="J493" s="15"/>
      <c r="K493" s="37"/>
      <c r="L493" s="328"/>
      <c r="M493" s="47"/>
      <c r="N493" s="263"/>
      <c r="O493" s="17"/>
      <c r="P493" s="18"/>
    </row>
    <row r="494" spans="1:16" ht="15.75" customHeight="1" x14ac:dyDescent="0.25">
      <c r="A494" s="18"/>
      <c r="B494" s="17"/>
      <c r="C494" s="17"/>
      <c r="D494" s="18"/>
      <c r="E494" s="18"/>
      <c r="F494" s="17"/>
      <c r="G494" s="18"/>
      <c r="H494" s="18"/>
      <c r="I494" s="18"/>
      <c r="J494" s="15"/>
      <c r="K494" s="37"/>
      <c r="L494" s="328"/>
      <c r="M494" s="47"/>
      <c r="N494" s="263"/>
      <c r="O494" s="17"/>
      <c r="P494" s="18"/>
    </row>
    <row r="495" spans="1:16" ht="15.75" customHeight="1" x14ac:dyDescent="0.25">
      <c r="A495" s="18"/>
      <c r="B495" s="17"/>
      <c r="C495" s="17"/>
      <c r="D495" s="18"/>
      <c r="E495" s="18"/>
      <c r="F495" s="17"/>
      <c r="G495" s="18"/>
      <c r="H495" s="18"/>
      <c r="I495" s="18"/>
      <c r="J495" s="15"/>
      <c r="K495" s="37"/>
      <c r="L495" s="328"/>
      <c r="M495" s="47"/>
      <c r="N495" s="263"/>
      <c r="O495" s="17"/>
      <c r="P495" s="18"/>
    </row>
    <row r="496" spans="1:16" ht="15.75" customHeight="1" x14ac:dyDescent="0.25">
      <c r="A496" s="18"/>
      <c r="B496" s="17"/>
      <c r="C496" s="17"/>
      <c r="D496" s="18"/>
      <c r="E496" s="18"/>
      <c r="F496" s="17"/>
      <c r="G496" s="18"/>
      <c r="H496" s="18"/>
      <c r="I496" s="18"/>
      <c r="J496" s="15"/>
      <c r="K496" s="37"/>
      <c r="L496" s="328"/>
      <c r="M496" s="47"/>
      <c r="N496" s="263"/>
      <c r="O496" s="17"/>
      <c r="P496" s="18"/>
    </row>
    <row r="497" spans="1:16" ht="15.75" customHeight="1" x14ac:dyDescent="0.25">
      <c r="A497" s="18"/>
      <c r="B497" s="17"/>
      <c r="C497" s="17"/>
      <c r="D497" s="18"/>
      <c r="E497" s="18"/>
      <c r="F497" s="17"/>
      <c r="G497" s="18"/>
      <c r="H497" s="18"/>
      <c r="I497" s="18"/>
      <c r="J497" s="15"/>
      <c r="K497" s="37"/>
      <c r="L497" s="328"/>
      <c r="M497" s="47"/>
      <c r="N497" s="263"/>
      <c r="O497" s="17"/>
      <c r="P497" s="18"/>
    </row>
    <row r="498" spans="1:16" ht="15.75" customHeight="1" x14ac:dyDescent="0.25">
      <c r="A498" s="18"/>
      <c r="B498" s="17"/>
      <c r="C498" s="17"/>
      <c r="D498" s="18"/>
      <c r="E498" s="18"/>
      <c r="F498" s="17"/>
      <c r="G498" s="18"/>
      <c r="H498" s="18"/>
      <c r="I498" s="18"/>
      <c r="J498" s="15"/>
      <c r="K498" s="37"/>
      <c r="L498" s="328"/>
      <c r="M498" s="47"/>
      <c r="N498" s="263"/>
      <c r="O498" s="17"/>
      <c r="P498" s="18"/>
    </row>
    <row r="499" spans="1:16" ht="15.75" customHeight="1" x14ac:dyDescent="0.25">
      <c r="A499" s="18"/>
      <c r="B499" s="17"/>
      <c r="C499" s="17"/>
      <c r="D499" s="18"/>
      <c r="E499" s="18"/>
      <c r="F499" s="17"/>
      <c r="G499" s="18"/>
      <c r="H499" s="18"/>
      <c r="I499" s="18"/>
      <c r="J499" s="15"/>
      <c r="K499" s="37"/>
      <c r="L499" s="328"/>
      <c r="M499" s="47"/>
      <c r="N499" s="263"/>
      <c r="O499" s="17"/>
      <c r="P499" s="18"/>
    </row>
    <row r="500" spans="1:16" ht="15.75" customHeight="1" x14ac:dyDescent="0.25">
      <c r="A500" s="18"/>
      <c r="B500" s="17"/>
      <c r="C500" s="17"/>
      <c r="D500" s="18"/>
      <c r="E500" s="18"/>
      <c r="F500" s="17"/>
      <c r="G500" s="18"/>
      <c r="H500" s="18"/>
      <c r="I500" s="18"/>
      <c r="J500" s="15"/>
      <c r="K500" s="37"/>
      <c r="L500" s="328"/>
      <c r="M500" s="47"/>
      <c r="N500" s="263"/>
      <c r="O500" s="17"/>
      <c r="P500" s="18"/>
    </row>
    <row r="501" spans="1:16" ht="15.75" customHeight="1" x14ac:dyDescent="0.25">
      <c r="A501" s="18"/>
      <c r="B501" s="17"/>
      <c r="C501" s="17"/>
      <c r="D501" s="18"/>
      <c r="E501" s="18"/>
      <c r="F501" s="17"/>
      <c r="G501" s="18"/>
      <c r="H501" s="18"/>
      <c r="I501" s="18"/>
      <c r="J501" s="15"/>
      <c r="K501" s="37"/>
      <c r="L501" s="328"/>
      <c r="M501" s="47"/>
      <c r="N501" s="263"/>
      <c r="O501" s="17"/>
      <c r="P501" s="18"/>
    </row>
    <row r="502" spans="1:16" ht="15.75" customHeight="1" x14ac:dyDescent="0.25">
      <c r="A502" s="18"/>
      <c r="B502" s="17"/>
      <c r="C502" s="17"/>
      <c r="D502" s="18"/>
      <c r="E502" s="18"/>
      <c r="F502" s="17"/>
      <c r="G502" s="18"/>
      <c r="H502" s="18"/>
      <c r="I502" s="18"/>
      <c r="J502" s="15"/>
      <c r="K502" s="37"/>
      <c r="L502" s="328"/>
      <c r="M502" s="47"/>
      <c r="N502" s="263"/>
      <c r="O502" s="17"/>
      <c r="P502" s="18"/>
    </row>
    <row r="503" spans="1:16" ht="15.75" customHeight="1" x14ac:dyDescent="0.25">
      <c r="A503" s="18"/>
      <c r="B503" s="17"/>
      <c r="C503" s="17"/>
      <c r="D503" s="18"/>
      <c r="E503" s="18"/>
      <c r="F503" s="17"/>
      <c r="G503" s="18"/>
      <c r="H503" s="18"/>
      <c r="I503" s="18"/>
      <c r="J503" s="15"/>
      <c r="K503" s="37"/>
      <c r="L503" s="328"/>
      <c r="M503" s="47"/>
      <c r="N503" s="263"/>
      <c r="O503" s="17"/>
      <c r="P503" s="18"/>
    </row>
    <row r="504" spans="1:16" ht="15.75" customHeight="1" x14ac:dyDescent="0.25">
      <c r="A504" s="18"/>
      <c r="B504" s="17"/>
      <c r="C504" s="17"/>
      <c r="D504" s="18"/>
      <c r="E504" s="18"/>
      <c r="F504" s="17"/>
      <c r="G504" s="18"/>
      <c r="H504" s="18"/>
      <c r="I504" s="18"/>
      <c r="J504" s="15"/>
      <c r="K504" s="37"/>
      <c r="L504" s="328"/>
      <c r="M504" s="47"/>
      <c r="N504" s="263"/>
      <c r="O504" s="17"/>
      <c r="P504" s="18"/>
    </row>
    <row r="505" spans="1:16" ht="15.75" customHeight="1" x14ac:dyDescent="0.25">
      <c r="A505" s="18"/>
      <c r="B505" s="17"/>
      <c r="C505" s="17"/>
      <c r="D505" s="18"/>
      <c r="E505" s="18"/>
      <c r="F505" s="17"/>
      <c r="G505" s="18"/>
      <c r="H505" s="18"/>
      <c r="I505" s="18"/>
      <c r="J505" s="15"/>
      <c r="K505" s="37"/>
      <c r="L505" s="328"/>
      <c r="M505" s="47"/>
      <c r="N505" s="263"/>
      <c r="O505" s="17"/>
      <c r="P505" s="18"/>
    </row>
    <row r="506" spans="1:16" ht="15.75" customHeight="1" x14ac:dyDescent="0.25">
      <c r="A506" s="18"/>
      <c r="B506" s="17"/>
      <c r="C506" s="17"/>
      <c r="D506" s="18"/>
      <c r="E506" s="18"/>
      <c r="F506" s="17"/>
      <c r="G506" s="18"/>
      <c r="H506" s="18"/>
      <c r="I506" s="18"/>
      <c r="J506" s="15"/>
      <c r="K506" s="37"/>
      <c r="L506" s="328"/>
      <c r="M506" s="47"/>
      <c r="N506" s="263"/>
      <c r="O506" s="17"/>
      <c r="P506" s="18"/>
    </row>
    <row r="507" spans="1:16" ht="15.75" customHeight="1" x14ac:dyDescent="0.25">
      <c r="A507" s="18"/>
      <c r="B507" s="17"/>
      <c r="C507" s="17"/>
      <c r="D507" s="18"/>
      <c r="E507" s="18"/>
      <c r="F507" s="17"/>
      <c r="G507" s="18"/>
      <c r="H507" s="18"/>
      <c r="I507" s="18"/>
      <c r="J507" s="15"/>
      <c r="K507" s="37"/>
      <c r="L507" s="328"/>
      <c r="M507" s="47"/>
      <c r="N507" s="263"/>
      <c r="O507" s="17"/>
      <c r="P507" s="18"/>
    </row>
    <row r="508" spans="1:16" ht="15.75" customHeight="1" x14ac:dyDescent="0.25">
      <c r="A508" s="18"/>
      <c r="B508" s="17"/>
      <c r="C508" s="17"/>
      <c r="D508" s="18"/>
      <c r="E508" s="18"/>
      <c r="F508" s="17"/>
      <c r="G508" s="18"/>
      <c r="H508" s="18"/>
      <c r="I508" s="18"/>
      <c r="J508" s="15"/>
      <c r="K508" s="37"/>
      <c r="L508" s="328"/>
      <c r="M508" s="47"/>
      <c r="N508" s="263"/>
      <c r="O508" s="17"/>
      <c r="P508" s="18"/>
    </row>
    <row r="509" spans="1:16" ht="15.75" customHeight="1" x14ac:dyDescent="0.25">
      <c r="A509" s="18"/>
      <c r="B509" s="17"/>
      <c r="C509" s="17"/>
      <c r="D509" s="18"/>
      <c r="E509" s="18"/>
      <c r="F509" s="17"/>
      <c r="G509" s="18"/>
      <c r="H509" s="18"/>
      <c r="I509" s="18"/>
      <c r="J509" s="15"/>
      <c r="K509" s="37"/>
      <c r="L509" s="328"/>
      <c r="M509" s="47"/>
      <c r="N509" s="263"/>
      <c r="O509" s="17"/>
      <c r="P509" s="18"/>
    </row>
    <row r="510" spans="1:16" ht="15.75" customHeight="1" x14ac:dyDescent="0.25">
      <c r="A510" s="18"/>
      <c r="B510" s="17"/>
      <c r="C510" s="17"/>
      <c r="D510" s="18"/>
      <c r="E510" s="18"/>
      <c r="F510" s="17"/>
      <c r="G510" s="18"/>
      <c r="H510" s="18"/>
      <c r="I510" s="18"/>
      <c r="J510" s="15"/>
      <c r="K510" s="37"/>
      <c r="L510" s="328"/>
      <c r="M510" s="47"/>
      <c r="N510" s="263"/>
      <c r="O510" s="17"/>
      <c r="P510" s="18"/>
    </row>
    <row r="511" spans="1:16" ht="15.75" customHeight="1" x14ac:dyDescent="0.25">
      <c r="A511" s="18"/>
      <c r="B511" s="17"/>
      <c r="C511" s="17"/>
      <c r="D511" s="18"/>
      <c r="E511" s="18"/>
      <c r="F511" s="17"/>
      <c r="G511" s="18"/>
      <c r="H511" s="18"/>
      <c r="I511" s="18"/>
      <c r="J511" s="15"/>
      <c r="K511" s="37"/>
      <c r="L511" s="328"/>
      <c r="M511" s="47"/>
      <c r="N511" s="263"/>
      <c r="O511" s="17"/>
      <c r="P511" s="18"/>
    </row>
    <row r="512" spans="1:16" ht="15.75" customHeight="1" x14ac:dyDescent="0.25">
      <c r="A512" s="18"/>
      <c r="B512" s="17"/>
      <c r="C512" s="17"/>
      <c r="D512" s="18"/>
      <c r="E512" s="18"/>
      <c r="F512" s="17"/>
      <c r="G512" s="18"/>
      <c r="H512" s="18"/>
      <c r="I512" s="18"/>
      <c r="J512" s="15"/>
      <c r="K512" s="37"/>
      <c r="L512" s="328"/>
      <c r="M512" s="47"/>
      <c r="N512" s="263"/>
      <c r="O512" s="17"/>
      <c r="P512" s="18"/>
    </row>
    <row r="513" spans="1:16" ht="15.75" customHeight="1" x14ac:dyDescent="0.25">
      <c r="A513" s="18"/>
      <c r="B513" s="17"/>
      <c r="C513" s="17"/>
      <c r="D513" s="18"/>
      <c r="E513" s="18"/>
      <c r="F513" s="17"/>
      <c r="G513" s="18"/>
      <c r="H513" s="18"/>
      <c r="I513" s="18"/>
      <c r="J513" s="15"/>
      <c r="K513" s="37"/>
      <c r="L513" s="328"/>
      <c r="M513" s="47"/>
      <c r="N513" s="263"/>
      <c r="O513" s="17"/>
      <c r="P513" s="18"/>
    </row>
    <row r="514" spans="1:16" ht="15.75" customHeight="1" x14ac:dyDescent="0.25">
      <c r="A514" s="18"/>
      <c r="B514" s="17"/>
      <c r="C514" s="17"/>
      <c r="D514" s="18"/>
      <c r="E514" s="18"/>
      <c r="F514" s="17"/>
      <c r="G514" s="18"/>
      <c r="H514" s="18"/>
      <c r="I514" s="18"/>
      <c r="J514" s="15"/>
      <c r="K514" s="37"/>
      <c r="L514" s="328"/>
      <c r="M514" s="47"/>
      <c r="N514" s="263"/>
      <c r="O514" s="17"/>
      <c r="P514" s="18"/>
    </row>
    <row r="515" spans="1:16" ht="15.75" customHeight="1" x14ac:dyDescent="0.25">
      <c r="A515" s="18"/>
      <c r="B515" s="17"/>
      <c r="C515" s="17"/>
      <c r="D515" s="18"/>
      <c r="E515" s="18"/>
      <c r="F515" s="17"/>
      <c r="G515" s="18"/>
      <c r="H515" s="18"/>
      <c r="I515" s="18"/>
      <c r="J515" s="15"/>
      <c r="K515" s="37"/>
      <c r="L515" s="328"/>
      <c r="M515" s="47"/>
      <c r="N515" s="263"/>
      <c r="O515" s="17"/>
      <c r="P515" s="18"/>
    </row>
    <row r="516" spans="1:16" ht="15.75" customHeight="1" x14ac:dyDescent="0.25"/>
    <row r="517" spans="1:16" ht="15.75" customHeight="1" x14ac:dyDescent="0.25"/>
    <row r="518" spans="1:16" ht="15.75" customHeight="1" x14ac:dyDescent="0.25"/>
    <row r="519" spans="1:16" ht="15.75" customHeight="1" x14ac:dyDescent="0.25"/>
    <row r="520" spans="1:16" ht="15.75" customHeight="1" x14ac:dyDescent="0.25"/>
    <row r="521" spans="1:16" ht="15.75" customHeight="1" x14ac:dyDescent="0.25"/>
    <row r="522" spans="1:16" ht="15.75" customHeight="1" x14ac:dyDescent="0.25"/>
    <row r="523" spans="1:16" ht="15.75" customHeight="1" x14ac:dyDescent="0.25"/>
    <row r="524" spans="1:16" ht="15.75" customHeight="1" x14ac:dyDescent="0.25"/>
    <row r="525" spans="1:16" ht="15.75" customHeight="1" x14ac:dyDescent="0.25"/>
    <row r="526" spans="1:16" ht="15.75" customHeight="1" x14ac:dyDescent="0.25"/>
    <row r="527" spans="1:16" ht="15.75" customHeight="1" x14ac:dyDescent="0.25"/>
    <row r="528" spans="1:16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</sheetData>
  <autoFilter ref="A1:P43" xr:uid="{00000000-0001-0000-0300-000000000000}"/>
  <phoneticPr fontId="10" type="noConversion"/>
  <pageMargins left="0.7" right="0.7" top="0.75" bottom="0.75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04482-F477-4CA1-A9E5-4BEA03DF5E58}">
  <sheetPr codeName="Hoja5"/>
  <dimension ref="B1:F12"/>
  <sheetViews>
    <sheetView workbookViewId="0">
      <selection activeCell="C16" sqref="C16"/>
    </sheetView>
  </sheetViews>
  <sheetFormatPr baseColWidth="10" defaultRowHeight="14.25" x14ac:dyDescent="0.2"/>
  <cols>
    <col min="2" max="2" width="30.875" customWidth="1"/>
    <col min="3" max="3" width="7.875" customWidth="1"/>
    <col min="6" max="6" width="16.25" customWidth="1"/>
  </cols>
  <sheetData>
    <row r="1" spans="2:6" x14ac:dyDescent="0.2">
      <c r="B1" s="339" t="s">
        <v>1614</v>
      </c>
      <c r="C1" s="339"/>
      <c r="D1" s="339"/>
      <c r="E1" s="339"/>
      <c r="F1" s="339"/>
    </row>
    <row r="2" spans="2:6" x14ac:dyDescent="0.2">
      <c r="B2" s="246" t="s">
        <v>1047</v>
      </c>
      <c r="C2" s="229" t="s">
        <v>1166</v>
      </c>
      <c r="D2" s="95" t="s">
        <v>1170</v>
      </c>
      <c r="E2" s="231">
        <v>10</v>
      </c>
      <c r="F2" s="95" t="s">
        <v>520</v>
      </c>
    </row>
    <row r="3" spans="2:6" x14ac:dyDescent="0.2">
      <c r="B3" s="246" t="s">
        <v>1219</v>
      </c>
      <c r="C3" s="229" t="s">
        <v>1212</v>
      </c>
      <c r="D3" s="95" t="s">
        <v>1220</v>
      </c>
      <c r="E3" s="231">
        <v>23.600000000000023</v>
      </c>
      <c r="F3" s="95" t="s">
        <v>1190</v>
      </c>
    </row>
    <row r="4" spans="2:6" x14ac:dyDescent="0.2">
      <c r="B4" s="246" t="s">
        <v>1256</v>
      </c>
      <c r="C4" s="229" t="s">
        <v>1249</v>
      </c>
      <c r="D4" s="95" t="s">
        <v>1255</v>
      </c>
      <c r="E4" s="231">
        <v>38.5</v>
      </c>
      <c r="F4" s="95" t="s">
        <v>520</v>
      </c>
    </row>
    <row r="5" spans="2:6" ht="24" x14ac:dyDescent="0.2">
      <c r="B5" s="246" t="s">
        <v>1396</v>
      </c>
      <c r="C5" s="229" t="s">
        <v>1385</v>
      </c>
      <c r="D5" s="99" t="s">
        <v>1397</v>
      </c>
      <c r="E5" s="231">
        <v>29.029999999999973</v>
      </c>
      <c r="F5" s="95" t="s">
        <v>425</v>
      </c>
    </row>
    <row r="6" spans="2:6" x14ac:dyDescent="0.2">
      <c r="B6" s="245" t="s">
        <v>1402</v>
      </c>
      <c r="C6" s="229" t="s">
        <v>1481</v>
      </c>
      <c r="D6" s="95" t="s">
        <v>1482</v>
      </c>
      <c r="E6" s="231">
        <v>28</v>
      </c>
      <c r="F6" s="95" t="s">
        <v>489</v>
      </c>
    </row>
    <row r="7" spans="2:6" ht="15" x14ac:dyDescent="0.2">
      <c r="B7" s="2"/>
      <c r="C7" s="81" t="s">
        <v>1242</v>
      </c>
      <c r="D7" s="3"/>
      <c r="E7" s="231">
        <v>2.1000000000000227</v>
      </c>
      <c r="F7" s="3" t="s">
        <v>417</v>
      </c>
    </row>
    <row r="8" spans="2:6" ht="15" x14ac:dyDescent="0.2">
      <c r="B8" s="2"/>
      <c r="C8" s="81" t="s">
        <v>1343</v>
      </c>
      <c r="D8" s="3"/>
      <c r="E8" s="231">
        <v>2.6000000000000227</v>
      </c>
      <c r="F8" s="3" t="s">
        <v>417</v>
      </c>
    </row>
    <row r="9" spans="2:6" ht="15" x14ac:dyDescent="0.2">
      <c r="B9" s="2"/>
      <c r="C9" s="81" t="s">
        <v>1421</v>
      </c>
      <c r="D9" s="3"/>
      <c r="E9" s="231">
        <v>0.80000000000001137</v>
      </c>
      <c r="F9" s="3" t="s">
        <v>417</v>
      </c>
    </row>
    <row r="10" spans="2:6" ht="15" x14ac:dyDescent="0.2">
      <c r="B10" s="2"/>
      <c r="C10" s="81" t="s">
        <v>1477</v>
      </c>
      <c r="D10" s="3"/>
      <c r="E10" s="231">
        <v>0.60000000000002274</v>
      </c>
      <c r="F10" s="3" t="s">
        <v>520</v>
      </c>
    </row>
    <row r="11" spans="2:6" ht="15" x14ac:dyDescent="0.2">
      <c r="B11" s="2"/>
      <c r="C11" s="81" t="s">
        <v>1558</v>
      </c>
      <c r="D11" s="3"/>
      <c r="E11" s="231">
        <v>1.5</v>
      </c>
      <c r="F11" s="3" t="s">
        <v>417</v>
      </c>
    </row>
    <row r="12" spans="2:6" x14ac:dyDescent="0.2">
      <c r="B12" s="2"/>
      <c r="C12" s="9"/>
      <c r="D12" s="3"/>
      <c r="E12" s="8">
        <f>SUM(E2:E11)</f>
        <v>136.73000000000008</v>
      </c>
      <c r="F12" s="3"/>
    </row>
  </sheetData>
  <mergeCells count="1">
    <mergeCell ref="B1:F1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>
    <pageSetUpPr fitToPage="1"/>
  </sheetPr>
  <dimension ref="A1:R687"/>
  <sheetViews>
    <sheetView zoomScaleNormal="100" zoomScaleSheetLayoutView="85" workbookViewId="0">
      <pane ySplit="1" topLeftCell="A302" activePane="bottomLeft" state="frozen"/>
      <selection pane="bottomLeft" activeCell="A371" sqref="A371"/>
    </sheetView>
  </sheetViews>
  <sheetFormatPr baseColWidth="10" defaultColWidth="12.625" defaultRowHeight="15" customHeight="1" x14ac:dyDescent="0.2"/>
  <cols>
    <col min="1" max="1" width="31.125" customWidth="1"/>
    <col min="2" max="2" width="7.5" customWidth="1"/>
    <col min="3" max="3" width="11.25" style="46" customWidth="1"/>
    <col min="4" max="4" width="16.875" customWidth="1"/>
    <col min="5" max="5" width="18.125" customWidth="1"/>
    <col min="6" max="6" width="12.375" customWidth="1"/>
    <col min="7" max="8" width="13.5" customWidth="1"/>
    <col min="9" max="9" width="9" customWidth="1"/>
    <col min="10" max="10" width="9.75" customWidth="1"/>
    <col min="11" max="11" width="9.25" customWidth="1"/>
    <col min="12" max="13" width="9.625" customWidth="1"/>
    <col min="14" max="14" width="11.75" style="132" customWidth="1"/>
    <col min="15" max="15" width="13.375" hidden="1" customWidth="1"/>
    <col min="16" max="16" width="21.375" customWidth="1"/>
    <col min="17" max="17" width="10.25" style="46" customWidth="1"/>
    <col min="18" max="18" width="19.5" customWidth="1"/>
  </cols>
  <sheetData>
    <row r="1" spans="1:18" ht="87" customHeight="1" thickBot="1" x14ac:dyDescent="0.25">
      <c r="A1" s="147" t="s">
        <v>1</v>
      </c>
      <c r="B1" s="148" t="s">
        <v>913</v>
      </c>
      <c r="C1" s="149" t="s">
        <v>467</v>
      </c>
      <c r="D1" s="149" t="s">
        <v>1361</v>
      </c>
      <c r="E1" s="150" t="s">
        <v>403</v>
      </c>
      <c r="F1" s="151" t="s">
        <v>15</v>
      </c>
      <c r="G1" s="150" t="s">
        <v>16</v>
      </c>
      <c r="H1" s="150" t="s">
        <v>1367</v>
      </c>
      <c r="I1" s="150" t="s">
        <v>19</v>
      </c>
      <c r="J1" s="150" t="s">
        <v>2</v>
      </c>
      <c r="K1" s="150" t="s">
        <v>20</v>
      </c>
      <c r="L1" s="150" t="s">
        <v>21</v>
      </c>
      <c r="M1" s="150" t="s">
        <v>401</v>
      </c>
      <c r="N1" s="128" t="s">
        <v>22</v>
      </c>
      <c r="O1" s="205" t="s">
        <v>23</v>
      </c>
      <c r="P1" s="5" t="s">
        <v>0</v>
      </c>
      <c r="Q1" s="6" t="s">
        <v>24</v>
      </c>
      <c r="R1" s="153"/>
    </row>
    <row r="2" spans="1:18" ht="15.75" customHeight="1" x14ac:dyDescent="0.2">
      <c r="A2" s="41" t="s">
        <v>418</v>
      </c>
      <c r="B2" s="51" t="s">
        <v>405</v>
      </c>
      <c r="C2" s="51" t="s">
        <v>419</v>
      </c>
      <c r="D2" s="232" t="s">
        <v>26</v>
      </c>
      <c r="E2" s="52" t="s">
        <v>413</v>
      </c>
      <c r="F2" s="52" t="s">
        <v>406</v>
      </c>
      <c r="G2" s="53">
        <v>46018</v>
      </c>
      <c r="H2" s="52" t="s">
        <v>25</v>
      </c>
      <c r="I2" s="54" t="s">
        <v>407</v>
      </c>
      <c r="J2" s="54">
        <v>124</v>
      </c>
      <c r="K2" s="54">
        <v>20</v>
      </c>
      <c r="L2" s="54">
        <v>15</v>
      </c>
      <c r="M2" s="54">
        <v>4.5</v>
      </c>
      <c r="N2" s="129">
        <f t="shared" ref="N2:N33" si="0">SUM(I2:M2)</f>
        <v>163.5</v>
      </c>
      <c r="O2" s="55"/>
      <c r="P2" s="56" t="s">
        <v>414</v>
      </c>
      <c r="Q2" s="3"/>
      <c r="R2" s="1" t="s">
        <v>689</v>
      </c>
    </row>
    <row r="3" spans="1:18" ht="15.75" customHeight="1" x14ac:dyDescent="0.2">
      <c r="A3" s="41" t="s">
        <v>418</v>
      </c>
      <c r="B3" s="51" t="s">
        <v>408</v>
      </c>
      <c r="C3" s="51" t="s">
        <v>420</v>
      </c>
      <c r="D3" s="232" t="s">
        <v>26</v>
      </c>
      <c r="E3" s="52" t="s">
        <v>413</v>
      </c>
      <c r="F3" s="52" t="s">
        <v>406</v>
      </c>
      <c r="G3" s="53">
        <v>46019</v>
      </c>
      <c r="H3" s="52" t="s">
        <v>25</v>
      </c>
      <c r="I3" s="54" t="s">
        <v>407</v>
      </c>
      <c r="J3" s="54">
        <v>124</v>
      </c>
      <c r="K3" s="54">
        <v>20</v>
      </c>
      <c r="L3" s="54">
        <v>13.5</v>
      </c>
      <c r="M3" s="54" t="s">
        <v>407</v>
      </c>
      <c r="N3" s="129">
        <f t="shared" si="0"/>
        <v>157.5</v>
      </c>
      <c r="O3" s="55"/>
      <c r="P3" s="56" t="s">
        <v>414</v>
      </c>
      <c r="Q3" s="3"/>
      <c r="R3" s="1" t="s">
        <v>689</v>
      </c>
    </row>
    <row r="4" spans="1:18" ht="15.75" customHeight="1" x14ac:dyDescent="0.2">
      <c r="A4" s="41" t="s">
        <v>418</v>
      </c>
      <c r="B4" s="51" t="s">
        <v>409</v>
      </c>
      <c r="C4" s="51" t="s">
        <v>421</v>
      </c>
      <c r="D4" s="232" t="s">
        <v>26</v>
      </c>
      <c r="E4" s="52" t="s">
        <v>413</v>
      </c>
      <c r="F4" s="52" t="s">
        <v>406</v>
      </c>
      <c r="G4" s="53">
        <v>46021</v>
      </c>
      <c r="H4" s="52" t="s">
        <v>25</v>
      </c>
      <c r="I4" s="54" t="s">
        <v>407</v>
      </c>
      <c r="J4" s="54">
        <v>122</v>
      </c>
      <c r="K4" s="54">
        <v>30</v>
      </c>
      <c r="L4" s="54">
        <v>15</v>
      </c>
      <c r="M4" s="54">
        <v>4.5</v>
      </c>
      <c r="N4" s="129">
        <f t="shared" si="0"/>
        <v>171.5</v>
      </c>
      <c r="O4" s="55"/>
      <c r="P4" s="56" t="s">
        <v>414</v>
      </c>
      <c r="Q4" s="3"/>
      <c r="R4" s="1" t="s">
        <v>689</v>
      </c>
    </row>
    <row r="5" spans="1:18" ht="15.75" customHeight="1" x14ac:dyDescent="0.2">
      <c r="A5" s="41" t="s">
        <v>418</v>
      </c>
      <c r="B5" s="51" t="s">
        <v>410</v>
      </c>
      <c r="C5" s="51" t="s">
        <v>422</v>
      </c>
      <c r="D5" s="232" t="s">
        <v>26</v>
      </c>
      <c r="E5" s="52" t="s">
        <v>413</v>
      </c>
      <c r="F5" s="52" t="s">
        <v>406</v>
      </c>
      <c r="G5" s="53">
        <v>45659</v>
      </c>
      <c r="H5" s="52" t="s">
        <v>25</v>
      </c>
      <c r="I5" s="54" t="s">
        <v>407</v>
      </c>
      <c r="J5" s="54">
        <v>129</v>
      </c>
      <c r="K5" s="54">
        <v>60</v>
      </c>
      <c r="L5" s="54">
        <v>15</v>
      </c>
      <c r="M5" s="54" t="s">
        <v>407</v>
      </c>
      <c r="N5" s="129">
        <f t="shared" si="0"/>
        <v>204</v>
      </c>
      <c r="O5" s="55"/>
      <c r="P5" s="56" t="s">
        <v>414</v>
      </c>
      <c r="Q5" s="3"/>
      <c r="R5" s="1" t="s">
        <v>689</v>
      </c>
    </row>
    <row r="6" spans="1:18" ht="15.75" customHeight="1" x14ac:dyDescent="0.2">
      <c r="A6" s="2" t="s">
        <v>416</v>
      </c>
      <c r="B6" s="51" t="s">
        <v>411</v>
      </c>
      <c r="C6" s="51" t="s">
        <v>423</v>
      </c>
      <c r="D6" s="232" t="s">
        <v>26</v>
      </c>
      <c r="E6" s="52" t="s">
        <v>413</v>
      </c>
      <c r="F6" s="52" t="s">
        <v>406</v>
      </c>
      <c r="G6" s="53">
        <v>45666</v>
      </c>
      <c r="H6" s="52" t="s">
        <v>25</v>
      </c>
      <c r="I6" s="54" t="s">
        <v>407</v>
      </c>
      <c r="J6" s="54">
        <v>81</v>
      </c>
      <c r="K6" s="54">
        <v>40</v>
      </c>
      <c r="L6" s="54" t="s">
        <v>407</v>
      </c>
      <c r="M6" s="54" t="s">
        <v>407</v>
      </c>
      <c r="N6" s="129">
        <f t="shared" si="0"/>
        <v>121</v>
      </c>
      <c r="O6" s="55"/>
      <c r="P6" s="56" t="s">
        <v>414</v>
      </c>
      <c r="Q6" s="3"/>
      <c r="R6" s="1" t="s">
        <v>689</v>
      </c>
    </row>
    <row r="7" spans="1:18" ht="19.149999999999999" customHeight="1" x14ac:dyDescent="0.2">
      <c r="A7" s="2" t="s">
        <v>430</v>
      </c>
      <c r="B7" s="51" t="s">
        <v>431</v>
      </c>
      <c r="C7" s="51" t="s">
        <v>432</v>
      </c>
      <c r="D7" s="232" t="s">
        <v>26</v>
      </c>
      <c r="E7" s="52" t="s">
        <v>433</v>
      </c>
      <c r="F7" s="52" t="s">
        <v>406</v>
      </c>
      <c r="G7" s="53">
        <v>45659</v>
      </c>
      <c r="H7" s="52" t="s">
        <v>25</v>
      </c>
      <c r="I7" s="54" t="s">
        <v>407</v>
      </c>
      <c r="J7" s="54">
        <v>55</v>
      </c>
      <c r="K7" s="52" t="s">
        <v>407</v>
      </c>
      <c r="L7" s="54">
        <v>15</v>
      </c>
      <c r="M7" s="54" t="s">
        <v>407</v>
      </c>
      <c r="N7" s="129">
        <f t="shared" si="0"/>
        <v>70</v>
      </c>
      <c r="O7" s="55"/>
      <c r="P7" s="56" t="s">
        <v>429</v>
      </c>
      <c r="Q7" s="3"/>
      <c r="R7" s="1" t="s">
        <v>689</v>
      </c>
    </row>
    <row r="8" spans="1:18" ht="15.75" customHeight="1" x14ac:dyDescent="0.2">
      <c r="A8" s="2" t="s">
        <v>437</v>
      </c>
      <c r="B8" s="59" t="s">
        <v>434</v>
      </c>
      <c r="C8" s="60" t="s">
        <v>435</v>
      </c>
      <c r="D8" s="233" t="s">
        <v>435</v>
      </c>
      <c r="E8" s="60" t="s">
        <v>436</v>
      </c>
      <c r="F8" s="60" t="s">
        <v>406</v>
      </c>
      <c r="G8" s="61" t="s">
        <v>438</v>
      </c>
      <c r="H8" s="52" t="s">
        <v>25</v>
      </c>
      <c r="I8" s="62" t="s">
        <v>407</v>
      </c>
      <c r="J8" s="62" t="s">
        <v>407</v>
      </c>
      <c r="K8" s="62" t="s">
        <v>407</v>
      </c>
      <c r="L8" s="62" t="s">
        <v>407</v>
      </c>
      <c r="M8" s="62" t="s">
        <v>407</v>
      </c>
      <c r="N8" s="130">
        <f t="shared" si="0"/>
        <v>0</v>
      </c>
      <c r="O8" s="64"/>
      <c r="P8" s="60" t="s">
        <v>439</v>
      </c>
      <c r="Q8" s="3"/>
      <c r="R8" s="1" t="s">
        <v>689</v>
      </c>
    </row>
    <row r="9" spans="1:18" ht="15.75" customHeight="1" x14ac:dyDescent="0.2">
      <c r="A9" s="57" t="s">
        <v>418</v>
      </c>
      <c r="B9" s="59" t="s">
        <v>440</v>
      </c>
      <c r="C9" s="59" t="s">
        <v>441</v>
      </c>
      <c r="D9" s="232" t="s">
        <v>26</v>
      </c>
      <c r="E9" s="60" t="s">
        <v>413</v>
      </c>
      <c r="F9" s="60" t="s">
        <v>406</v>
      </c>
      <c r="G9" s="61">
        <v>45665</v>
      </c>
      <c r="H9" s="52" t="s">
        <v>25</v>
      </c>
      <c r="I9" s="62" t="s">
        <v>407</v>
      </c>
      <c r="J9" s="63">
        <v>122</v>
      </c>
      <c r="K9" s="63">
        <v>40</v>
      </c>
      <c r="L9" s="62" t="s">
        <v>407</v>
      </c>
      <c r="M9" s="62" t="s">
        <v>407</v>
      </c>
      <c r="N9" s="130">
        <f t="shared" si="0"/>
        <v>162</v>
      </c>
      <c r="O9" s="64"/>
      <c r="P9" s="63" t="s">
        <v>414</v>
      </c>
      <c r="Q9" s="3"/>
      <c r="R9" s="1" t="s">
        <v>689</v>
      </c>
    </row>
    <row r="10" spans="1:18" ht="15.75" customHeight="1" x14ac:dyDescent="0.2">
      <c r="A10" s="2" t="s">
        <v>443</v>
      </c>
      <c r="B10" s="59" t="s">
        <v>442</v>
      </c>
      <c r="C10" s="59" t="s">
        <v>444</v>
      </c>
      <c r="D10" s="232" t="s">
        <v>26</v>
      </c>
      <c r="E10" s="60" t="s">
        <v>445</v>
      </c>
      <c r="F10" s="60" t="s">
        <v>406</v>
      </c>
      <c r="G10" s="61">
        <v>45666</v>
      </c>
      <c r="H10" s="52" t="s">
        <v>25</v>
      </c>
      <c r="I10" s="63" t="s">
        <v>407</v>
      </c>
      <c r="J10" s="63" t="s">
        <v>407</v>
      </c>
      <c r="K10" s="63" t="s">
        <v>407</v>
      </c>
      <c r="L10" s="63" t="s">
        <v>407</v>
      </c>
      <c r="M10" s="63" t="s">
        <v>407</v>
      </c>
      <c r="N10" s="130">
        <f t="shared" si="0"/>
        <v>0</v>
      </c>
      <c r="O10" s="64"/>
      <c r="P10" s="60" t="s">
        <v>414</v>
      </c>
      <c r="Q10" s="3"/>
      <c r="R10" s="1" t="s">
        <v>689</v>
      </c>
    </row>
    <row r="11" spans="1:18" s="43" customFormat="1" ht="15.75" customHeight="1" x14ac:dyDescent="0.2">
      <c r="A11" s="58" t="s">
        <v>447</v>
      </c>
      <c r="B11" s="59" t="s">
        <v>446</v>
      </c>
      <c r="C11" s="59" t="s">
        <v>448</v>
      </c>
      <c r="D11" s="232" t="s">
        <v>26</v>
      </c>
      <c r="E11" s="60" t="s">
        <v>449</v>
      </c>
      <c r="F11" s="60" t="s">
        <v>406</v>
      </c>
      <c r="G11" s="61">
        <v>45667</v>
      </c>
      <c r="H11" s="52" t="s">
        <v>25</v>
      </c>
      <c r="I11" s="63" t="s">
        <v>407</v>
      </c>
      <c r="J11" s="63" t="s">
        <v>407</v>
      </c>
      <c r="K11" s="63" t="s">
        <v>407</v>
      </c>
      <c r="L11" s="63" t="s">
        <v>407</v>
      </c>
      <c r="M11" s="63" t="s">
        <v>407</v>
      </c>
      <c r="N11" s="130">
        <f t="shared" si="0"/>
        <v>0</v>
      </c>
      <c r="O11" s="64"/>
      <c r="P11" s="60" t="s">
        <v>414</v>
      </c>
      <c r="Q11" s="93"/>
      <c r="R11" s="1" t="s">
        <v>689</v>
      </c>
    </row>
    <row r="12" spans="1:18" ht="15.75" customHeight="1" x14ac:dyDescent="0.2">
      <c r="A12" s="2" t="s">
        <v>454</v>
      </c>
      <c r="B12" s="59" t="s">
        <v>453</v>
      </c>
      <c r="C12" s="59" t="s">
        <v>452</v>
      </c>
      <c r="D12" s="232" t="s">
        <v>26</v>
      </c>
      <c r="E12" s="60" t="s">
        <v>413</v>
      </c>
      <c r="F12" s="60" t="s">
        <v>406</v>
      </c>
      <c r="G12" s="61">
        <v>45667</v>
      </c>
      <c r="H12" s="52" t="s">
        <v>25</v>
      </c>
      <c r="I12" s="63" t="s">
        <v>407</v>
      </c>
      <c r="J12" s="63">
        <v>132</v>
      </c>
      <c r="K12" s="63">
        <v>25</v>
      </c>
      <c r="L12" s="63">
        <v>30</v>
      </c>
      <c r="M12" s="63">
        <v>13</v>
      </c>
      <c r="N12" s="130">
        <f t="shared" si="0"/>
        <v>200</v>
      </c>
      <c r="O12" s="64"/>
      <c r="P12" s="60" t="s">
        <v>414</v>
      </c>
      <c r="Q12" s="3"/>
      <c r="R12" s="1" t="s">
        <v>689</v>
      </c>
    </row>
    <row r="13" spans="1:18" ht="15.75" customHeight="1" x14ac:dyDescent="0.2">
      <c r="A13" s="2" t="s">
        <v>462</v>
      </c>
      <c r="B13" s="59" t="s">
        <v>457</v>
      </c>
      <c r="C13" s="59" t="s">
        <v>460</v>
      </c>
      <c r="D13" s="232" t="s">
        <v>26</v>
      </c>
      <c r="E13" s="60" t="s">
        <v>458</v>
      </c>
      <c r="F13" s="60" t="s">
        <v>461</v>
      </c>
      <c r="G13" s="61">
        <v>45673</v>
      </c>
      <c r="H13" s="52" t="s">
        <v>25</v>
      </c>
      <c r="I13" s="63" t="s">
        <v>407</v>
      </c>
      <c r="J13" s="63" t="s">
        <v>407</v>
      </c>
      <c r="K13" s="63" t="s">
        <v>407</v>
      </c>
      <c r="L13" s="63" t="s">
        <v>407</v>
      </c>
      <c r="M13" s="63" t="s">
        <v>407</v>
      </c>
      <c r="N13" s="130">
        <f t="shared" si="0"/>
        <v>0</v>
      </c>
      <c r="O13" s="64"/>
      <c r="P13" s="60" t="s">
        <v>429</v>
      </c>
      <c r="Q13" s="3"/>
      <c r="R13" s="1" t="s">
        <v>689</v>
      </c>
    </row>
    <row r="14" spans="1:18" ht="15.75" customHeight="1" x14ac:dyDescent="0.2">
      <c r="A14" s="2" t="s">
        <v>464</v>
      </c>
      <c r="B14" s="59" t="s">
        <v>463</v>
      </c>
      <c r="C14" s="59" t="s">
        <v>459</v>
      </c>
      <c r="D14" s="232" t="s">
        <v>26</v>
      </c>
      <c r="E14" s="60" t="s">
        <v>465</v>
      </c>
      <c r="F14" s="60" t="s">
        <v>406</v>
      </c>
      <c r="G14" s="61">
        <v>45671</v>
      </c>
      <c r="H14" s="52" t="s">
        <v>25</v>
      </c>
      <c r="I14" s="63" t="s">
        <v>407</v>
      </c>
      <c r="J14" s="63">
        <v>78</v>
      </c>
      <c r="K14" s="63" t="s">
        <v>407</v>
      </c>
      <c r="L14" s="63">
        <v>12</v>
      </c>
      <c r="M14" s="63" t="s">
        <v>407</v>
      </c>
      <c r="N14" s="130">
        <f t="shared" si="0"/>
        <v>90</v>
      </c>
      <c r="O14" s="64"/>
      <c r="P14" s="60" t="s">
        <v>466</v>
      </c>
      <c r="Q14" s="3"/>
      <c r="R14" s="1" t="s">
        <v>689</v>
      </c>
    </row>
    <row r="15" spans="1:18" ht="28.15" customHeight="1" x14ac:dyDescent="0.2">
      <c r="A15" s="57" t="s">
        <v>469</v>
      </c>
      <c r="B15" s="59" t="s">
        <v>468</v>
      </c>
      <c r="C15" s="59" t="s">
        <v>470</v>
      </c>
      <c r="D15" s="232" t="s">
        <v>26</v>
      </c>
      <c r="E15" s="60" t="s">
        <v>445</v>
      </c>
      <c r="F15" s="60" t="s">
        <v>406</v>
      </c>
      <c r="G15" s="61">
        <v>45674</v>
      </c>
      <c r="H15" s="52" t="s">
        <v>25</v>
      </c>
      <c r="I15" s="63" t="s">
        <v>407</v>
      </c>
      <c r="J15" s="63" t="s">
        <v>407</v>
      </c>
      <c r="K15" s="63" t="s">
        <v>407</v>
      </c>
      <c r="L15" s="63" t="s">
        <v>407</v>
      </c>
      <c r="M15" s="63" t="s">
        <v>407</v>
      </c>
      <c r="N15" s="130">
        <f t="shared" si="0"/>
        <v>0</v>
      </c>
      <c r="O15" s="64"/>
      <c r="P15" s="60" t="s">
        <v>414</v>
      </c>
      <c r="Q15" s="3"/>
      <c r="R15" s="1" t="s">
        <v>689</v>
      </c>
    </row>
    <row r="16" spans="1:18" ht="15.75" customHeight="1" x14ac:dyDescent="0.2">
      <c r="A16" s="2" t="s">
        <v>418</v>
      </c>
      <c r="B16" s="59" t="s">
        <v>471</v>
      </c>
      <c r="C16" s="59" t="s">
        <v>472</v>
      </c>
      <c r="D16" s="232" t="s">
        <v>26</v>
      </c>
      <c r="E16" s="60" t="s">
        <v>413</v>
      </c>
      <c r="F16" s="60" t="s">
        <v>406</v>
      </c>
      <c r="G16" s="61">
        <v>45673</v>
      </c>
      <c r="H16" s="52" t="s">
        <v>25</v>
      </c>
      <c r="I16" s="63" t="s">
        <v>407</v>
      </c>
      <c r="J16" s="63">
        <v>109</v>
      </c>
      <c r="K16" s="63">
        <v>15</v>
      </c>
      <c r="L16" s="63" t="s">
        <v>407</v>
      </c>
      <c r="M16" s="63" t="s">
        <v>407</v>
      </c>
      <c r="N16" s="130">
        <f t="shared" si="0"/>
        <v>124</v>
      </c>
      <c r="O16" s="64"/>
      <c r="P16" s="60" t="s">
        <v>414</v>
      </c>
      <c r="Q16" s="3"/>
      <c r="R16" s="1" t="s">
        <v>689</v>
      </c>
    </row>
    <row r="17" spans="1:18" ht="30.6" customHeight="1" x14ac:dyDescent="0.2">
      <c r="A17" s="57" t="s">
        <v>1354</v>
      </c>
      <c r="B17" s="59" t="s">
        <v>474</v>
      </c>
      <c r="C17" s="72" t="s">
        <v>475</v>
      </c>
      <c r="D17" s="232" t="s">
        <v>26</v>
      </c>
      <c r="E17" s="60" t="s">
        <v>445</v>
      </c>
      <c r="F17" s="60" t="s">
        <v>406</v>
      </c>
      <c r="G17" s="60" t="s">
        <v>476</v>
      </c>
      <c r="H17" s="52" t="s">
        <v>25</v>
      </c>
      <c r="I17" s="63" t="s">
        <v>407</v>
      </c>
      <c r="J17" s="63">
        <v>43</v>
      </c>
      <c r="K17" s="63" t="s">
        <v>407</v>
      </c>
      <c r="L17" s="63">
        <v>30</v>
      </c>
      <c r="M17" s="63">
        <v>19</v>
      </c>
      <c r="N17" s="130">
        <f t="shared" si="0"/>
        <v>92</v>
      </c>
      <c r="O17" s="64"/>
      <c r="P17" s="60" t="s">
        <v>439</v>
      </c>
      <c r="Q17" s="3"/>
      <c r="R17" s="1" t="s">
        <v>689</v>
      </c>
    </row>
    <row r="18" spans="1:18" ht="15.75" customHeight="1" x14ac:dyDescent="0.2">
      <c r="A18" s="2" t="s">
        <v>430</v>
      </c>
      <c r="B18" s="59" t="s">
        <v>480</v>
      </c>
      <c r="C18" s="51" t="s">
        <v>490</v>
      </c>
      <c r="D18" s="232" t="s">
        <v>26</v>
      </c>
      <c r="E18" s="52" t="s">
        <v>491</v>
      </c>
      <c r="F18" s="52" t="s">
        <v>406</v>
      </c>
      <c r="G18" s="53">
        <v>45675</v>
      </c>
      <c r="H18" s="52" t="s">
        <v>25</v>
      </c>
      <c r="I18" s="63" t="s">
        <v>407</v>
      </c>
      <c r="J18" s="54">
        <v>162</v>
      </c>
      <c r="K18" s="54" t="s">
        <v>407</v>
      </c>
      <c r="L18" s="54">
        <v>15</v>
      </c>
      <c r="M18" s="54" t="s">
        <v>407</v>
      </c>
      <c r="N18" s="129">
        <f t="shared" si="0"/>
        <v>177</v>
      </c>
      <c r="O18" s="55"/>
      <c r="P18" s="52" t="s">
        <v>489</v>
      </c>
      <c r="Q18" s="3"/>
      <c r="R18" s="1" t="s">
        <v>689</v>
      </c>
    </row>
    <row r="19" spans="1:18" ht="15.75" customHeight="1" x14ac:dyDescent="0.2">
      <c r="A19" s="2" t="s">
        <v>493</v>
      </c>
      <c r="B19" s="59" t="s">
        <v>481</v>
      </c>
      <c r="C19" s="52" t="s">
        <v>492</v>
      </c>
      <c r="D19" s="232" t="s">
        <v>26</v>
      </c>
      <c r="E19" s="52" t="s">
        <v>445</v>
      </c>
      <c r="F19" s="52" t="s">
        <v>406</v>
      </c>
      <c r="G19" s="53">
        <v>45680</v>
      </c>
      <c r="H19" s="52" t="s">
        <v>25</v>
      </c>
      <c r="I19" s="63" t="s">
        <v>407</v>
      </c>
      <c r="J19" s="63" t="s">
        <v>407</v>
      </c>
      <c r="K19" s="63" t="s">
        <v>407</v>
      </c>
      <c r="L19" s="63" t="s">
        <v>407</v>
      </c>
      <c r="M19" s="63" t="s">
        <v>407</v>
      </c>
      <c r="N19" s="129">
        <f t="shared" si="0"/>
        <v>0</v>
      </c>
      <c r="O19" s="55"/>
      <c r="P19" s="52" t="s">
        <v>414</v>
      </c>
      <c r="Q19" s="3"/>
      <c r="R19" s="1" t="s">
        <v>689</v>
      </c>
    </row>
    <row r="20" spans="1:18" ht="15.75" customHeight="1" x14ac:dyDescent="0.2">
      <c r="A20" s="2" t="s">
        <v>493</v>
      </c>
      <c r="B20" s="59" t="s">
        <v>482</v>
      </c>
      <c r="C20" s="52" t="s">
        <v>494</v>
      </c>
      <c r="D20" s="232" t="s">
        <v>26</v>
      </c>
      <c r="E20" s="52" t="s">
        <v>445</v>
      </c>
      <c r="F20" s="52" t="s">
        <v>406</v>
      </c>
      <c r="G20" s="53">
        <v>45680</v>
      </c>
      <c r="H20" s="52" t="s">
        <v>25</v>
      </c>
      <c r="I20" s="63" t="s">
        <v>407</v>
      </c>
      <c r="J20" s="63" t="s">
        <v>407</v>
      </c>
      <c r="K20" s="63" t="s">
        <v>407</v>
      </c>
      <c r="L20" s="63" t="s">
        <v>407</v>
      </c>
      <c r="M20" s="63" t="s">
        <v>407</v>
      </c>
      <c r="N20" s="129">
        <f t="shared" si="0"/>
        <v>0</v>
      </c>
      <c r="O20" s="55"/>
      <c r="P20" s="52" t="s">
        <v>489</v>
      </c>
      <c r="Q20" s="3"/>
      <c r="R20" s="1" t="s">
        <v>689</v>
      </c>
    </row>
    <row r="21" spans="1:18" ht="30.6" customHeight="1" x14ac:dyDescent="0.2">
      <c r="A21" s="57" t="s">
        <v>495</v>
      </c>
      <c r="B21" s="59" t="s">
        <v>483</v>
      </c>
      <c r="C21" s="52" t="s">
        <v>496</v>
      </c>
      <c r="D21" s="232" t="s">
        <v>26</v>
      </c>
      <c r="E21" s="52" t="s">
        <v>497</v>
      </c>
      <c r="F21" s="52" t="s">
        <v>406</v>
      </c>
      <c r="G21" s="53" t="s">
        <v>498</v>
      </c>
      <c r="H21" s="52" t="s">
        <v>25</v>
      </c>
      <c r="I21" s="54" t="s">
        <v>407</v>
      </c>
      <c r="J21" s="54">
        <v>105</v>
      </c>
      <c r="K21" s="54" t="s">
        <v>407</v>
      </c>
      <c r="L21" s="54">
        <v>50</v>
      </c>
      <c r="M21" s="54" t="s">
        <v>407</v>
      </c>
      <c r="N21" s="129">
        <f t="shared" si="0"/>
        <v>155</v>
      </c>
      <c r="O21" s="55"/>
      <c r="P21" s="52" t="s">
        <v>425</v>
      </c>
      <c r="Q21" s="3"/>
      <c r="R21" s="1" t="s">
        <v>689</v>
      </c>
    </row>
    <row r="22" spans="1:18" ht="30.75" customHeight="1" x14ac:dyDescent="0.2">
      <c r="A22" s="57" t="s">
        <v>501</v>
      </c>
      <c r="B22" s="59" t="s">
        <v>484</v>
      </c>
      <c r="C22" s="75" t="s">
        <v>499</v>
      </c>
      <c r="D22" s="232" t="s">
        <v>26</v>
      </c>
      <c r="E22" s="52" t="s">
        <v>445</v>
      </c>
      <c r="F22" s="52" t="s">
        <v>406</v>
      </c>
      <c r="G22" s="52" t="s">
        <v>500</v>
      </c>
      <c r="H22" s="52" t="s">
        <v>25</v>
      </c>
      <c r="I22" s="54" t="s">
        <v>407</v>
      </c>
      <c r="J22" s="54" t="s">
        <v>407</v>
      </c>
      <c r="K22" s="54" t="s">
        <v>407</v>
      </c>
      <c r="L22" s="54" t="s">
        <v>407</v>
      </c>
      <c r="M22" s="54" t="s">
        <v>407</v>
      </c>
      <c r="N22" s="129">
        <f t="shared" si="0"/>
        <v>0</v>
      </c>
      <c r="O22" s="55"/>
      <c r="P22" s="75" t="s">
        <v>502</v>
      </c>
      <c r="Q22" s="3"/>
      <c r="R22" s="1" t="s">
        <v>689</v>
      </c>
    </row>
    <row r="23" spans="1:18" ht="29.25" customHeight="1" x14ac:dyDescent="0.2">
      <c r="A23" s="57" t="s">
        <v>503</v>
      </c>
      <c r="B23" s="59" t="s">
        <v>485</v>
      </c>
      <c r="C23" s="52" t="s">
        <v>504</v>
      </c>
      <c r="D23" s="232" t="s">
        <v>26</v>
      </c>
      <c r="E23" s="52" t="s">
        <v>413</v>
      </c>
      <c r="F23" s="52" t="s">
        <v>461</v>
      </c>
      <c r="G23" s="53">
        <v>45679</v>
      </c>
      <c r="H23" s="52" t="s">
        <v>25</v>
      </c>
      <c r="I23" s="54" t="s">
        <v>407</v>
      </c>
      <c r="J23" s="54">
        <v>104</v>
      </c>
      <c r="K23" s="54" t="s">
        <v>407</v>
      </c>
      <c r="L23" s="54">
        <v>28</v>
      </c>
      <c r="M23" s="54">
        <v>70</v>
      </c>
      <c r="N23" s="129">
        <f t="shared" si="0"/>
        <v>202</v>
      </c>
      <c r="O23" s="55"/>
      <c r="P23" s="52" t="s">
        <v>414</v>
      </c>
      <c r="Q23" s="3"/>
      <c r="R23" s="1" t="s">
        <v>689</v>
      </c>
    </row>
    <row r="24" spans="1:18" ht="15.75" customHeight="1" x14ac:dyDescent="0.2">
      <c r="A24" s="2" t="s">
        <v>506</v>
      </c>
      <c r="B24" s="59" t="s">
        <v>486</v>
      </c>
      <c r="C24" s="52" t="s">
        <v>505</v>
      </c>
      <c r="D24" s="232" t="s">
        <v>26</v>
      </c>
      <c r="E24" s="52" t="s">
        <v>413</v>
      </c>
      <c r="F24" s="52" t="s">
        <v>406</v>
      </c>
      <c r="G24" s="53">
        <v>45680</v>
      </c>
      <c r="H24" s="52" t="s">
        <v>25</v>
      </c>
      <c r="I24" s="54" t="s">
        <v>407</v>
      </c>
      <c r="J24" s="54">
        <v>143</v>
      </c>
      <c r="K24" s="54" t="s">
        <v>407</v>
      </c>
      <c r="L24" s="54">
        <v>30</v>
      </c>
      <c r="M24" s="54" t="s">
        <v>407</v>
      </c>
      <c r="N24" s="129">
        <f t="shared" si="0"/>
        <v>173</v>
      </c>
      <c r="O24" s="55"/>
      <c r="P24" s="52" t="s">
        <v>414</v>
      </c>
      <c r="Q24" s="3"/>
      <c r="R24" s="1" t="s">
        <v>689</v>
      </c>
    </row>
    <row r="25" spans="1:18" ht="15.75" customHeight="1" x14ac:dyDescent="0.2">
      <c r="A25" s="2" t="s">
        <v>508</v>
      </c>
      <c r="B25" s="59" t="s">
        <v>487</v>
      </c>
      <c r="C25" s="52" t="s">
        <v>507</v>
      </c>
      <c r="D25" s="232" t="s">
        <v>26</v>
      </c>
      <c r="E25" s="52" t="s">
        <v>413</v>
      </c>
      <c r="F25" s="52" t="s">
        <v>406</v>
      </c>
      <c r="G25" s="53">
        <v>45681</v>
      </c>
      <c r="H25" s="52" t="s">
        <v>25</v>
      </c>
      <c r="I25" s="54" t="s">
        <v>407</v>
      </c>
      <c r="J25" s="54">
        <v>66</v>
      </c>
      <c r="K25" s="54" t="s">
        <v>407</v>
      </c>
      <c r="L25" s="54" t="s">
        <v>407</v>
      </c>
      <c r="M25" s="54" t="s">
        <v>407</v>
      </c>
      <c r="N25" s="129">
        <f t="shared" si="0"/>
        <v>66</v>
      </c>
      <c r="O25" s="55"/>
      <c r="P25" s="52" t="s">
        <v>414</v>
      </c>
      <c r="Q25" s="3"/>
      <c r="R25" s="1" t="s">
        <v>689</v>
      </c>
    </row>
    <row r="26" spans="1:18" ht="15.75" customHeight="1" x14ac:dyDescent="0.2">
      <c r="A26" s="2" t="s">
        <v>437</v>
      </c>
      <c r="B26" s="59" t="s">
        <v>488</v>
      </c>
      <c r="C26" s="52" t="s">
        <v>510</v>
      </c>
      <c r="D26" s="3" t="s">
        <v>435</v>
      </c>
      <c r="E26" s="52" t="s">
        <v>436</v>
      </c>
      <c r="F26" s="52" t="s">
        <v>406</v>
      </c>
      <c r="G26" s="53">
        <v>45685</v>
      </c>
      <c r="H26" s="52" t="s">
        <v>25</v>
      </c>
      <c r="I26" s="54" t="s">
        <v>407</v>
      </c>
      <c r="J26" s="54" t="s">
        <v>407</v>
      </c>
      <c r="K26" s="54" t="s">
        <v>407</v>
      </c>
      <c r="L26" s="54" t="s">
        <v>407</v>
      </c>
      <c r="M26" s="54" t="s">
        <v>407</v>
      </c>
      <c r="N26" s="129">
        <f t="shared" si="0"/>
        <v>0</v>
      </c>
      <c r="O26" s="55"/>
      <c r="P26" s="52" t="s">
        <v>417</v>
      </c>
      <c r="Q26" s="3"/>
      <c r="R26" s="1" t="s">
        <v>689</v>
      </c>
    </row>
    <row r="27" spans="1:18" ht="48" customHeight="1" x14ac:dyDescent="0.2">
      <c r="A27" s="57" t="s">
        <v>522</v>
      </c>
      <c r="B27" s="59" t="s">
        <v>511</v>
      </c>
      <c r="C27" s="75" t="s">
        <v>523</v>
      </c>
      <c r="D27" s="232" t="s">
        <v>26</v>
      </c>
      <c r="E27" s="52" t="s">
        <v>436</v>
      </c>
      <c r="F27" s="52" t="s">
        <v>406</v>
      </c>
      <c r="G27" s="52" t="s">
        <v>521</v>
      </c>
      <c r="H27" s="52" t="s">
        <v>25</v>
      </c>
      <c r="I27" s="54" t="s">
        <v>407</v>
      </c>
      <c r="J27" s="54">
        <v>12</v>
      </c>
      <c r="K27" s="54" t="s">
        <v>407</v>
      </c>
      <c r="L27" s="54">
        <v>54</v>
      </c>
      <c r="M27" s="54" t="s">
        <v>407</v>
      </c>
      <c r="N27" s="129">
        <f t="shared" si="0"/>
        <v>66</v>
      </c>
      <c r="O27" s="55"/>
      <c r="P27" s="52" t="s">
        <v>520</v>
      </c>
      <c r="Q27" s="3"/>
      <c r="R27" s="1" t="s">
        <v>689</v>
      </c>
    </row>
    <row r="28" spans="1:18" ht="44.25" customHeight="1" x14ac:dyDescent="0.2">
      <c r="A28" s="57" t="s">
        <v>1355</v>
      </c>
      <c r="B28" s="59" t="s">
        <v>512</v>
      </c>
      <c r="C28" s="52" t="s">
        <v>526</v>
      </c>
      <c r="D28" s="232" t="s">
        <v>26</v>
      </c>
      <c r="E28" s="52" t="s">
        <v>445</v>
      </c>
      <c r="F28" s="52" t="s">
        <v>406</v>
      </c>
      <c r="G28" s="53">
        <v>45686</v>
      </c>
      <c r="H28" s="52" t="s">
        <v>25</v>
      </c>
      <c r="I28" s="54" t="s">
        <v>407</v>
      </c>
      <c r="J28" s="54" t="s">
        <v>407</v>
      </c>
      <c r="K28" s="54" t="s">
        <v>407</v>
      </c>
      <c r="L28" s="54" t="s">
        <v>407</v>
      </c>
      <c r="M28" s="54" t="s">
        <v>407</v>
      </c>
      <c r="N28" s="129">
        <f t="shared" si="0"/>
        <v>0</v>
      </c>
      <c r="O28" s="55"/>
      <c r="P28" s="52" t="s">
        <v>414</v>
      </c>
      <c r="Q28" s="3"/>
      <c r="R28" s="1" t="s">
        <v>689</v>
      </c>
    </row>
    <row r="29" spans="1:18" ht="42" customHeight="1" x14ac:dyDescent="0.2">
      <c r="A29" s="57" t="s">
        <v>529</v>
      </c>
      <c r="B29" s="59" t="s">
        <v>513</v>
      </c>
      <c r="C29" s="75" t="s">
        <v>527</v>
      </c>
      <c r="D29" s="232" t="s">
        <v>26</v>
      </c>
      <c r="E29" s="52" t="s">
        <v>436</v>
      </c>
      <c r="F29" s="52" t="s">
        <v>406</v>
      </c>
      <c r="G29" s="75" t="s">
        <v>528</v>
      </c>
      <c r="H29" s="52" t="s">
        <v>25</v>
      </c>
      <c r="I29" s="54" t="s">
        <v>407</v>
      </c>
      <c r="J29" s="54">
        <v>24.5</v>
      </c>
      <c r="K29" s="54" t="s">
        <v>407</v>
      </c>
      <c r="L29" s="54">
        <v>60</v>
      </c>
      <c r="M29" s="54" t="s">
        <v>407</v>
      </c>
      <c r="N29" s="129">
        <f t="shared" si="0"/>
        <v>84.5</v>
      </c>
      <c r="O29" s="55"/>
      <c r="P29" s="52" t="s">
        <v>425</v>
      </c>
      <c r="Q29" s="3"/>
      <c r="R29" s="1" t="s">
        <v>689</v>
      </c>
    </row>
    <row r="30" spans="1:18" ht="30.75" customHeight="1" x14ac:dyDescent="0.2">
      <c r="A30" s="57" t="s">
        <v>531</v>
      </c>
      <c r="B30" s="59" t="s">
        <v>514</v>
      </c>
      <c r="C30" s="52" t="s">
        <v>532</v>
      </c>
      <c r="D30" s="232" t="s">
        <v>26</v>
      </c>
      <c r="E30" s="52" t="s">
        <v>445</v>
      </c>
      <c r="F30" s="52" t="s">
        <v>406</v>
      </c>
      <c r="G30" s="53">
        <v>45687</v>
      </c>
      <c r="H30" s="52" t="s">
        <v>25</v>
      </c>
      <c r="I30" s="54" t="s">
        <v>407</v>
      </c>
      <c r="J30" s="54" t="s">
        <v>407</v>
      </c>
      <c r="K30" s="54" t="s">
        <v>407</v>
      </c>
      <c r="L30" s="54" t="s">
        <v>407</v>
      </c>
      <c r="M30" s="54" t="s">
        <v>407</v>
      </c>
      <c r="N30" s="129">
        <f t="shared" si="0"/>
        <v>0</v>
      </c>
      <c r="O30" s="55"/>
      <c r="P30" s="52" t="s">
        <v>425</v>
      </c>
      <c r="Q30" s="3"/>
      <c r="R30" s="1" t="s">
        <v>689</v>
      </c>
    </row>
    <row r="31" spans="1:18" ht="15.75" customHeight="1" x14ac:dyDescent="0.2">
      <c r="A31" s="2" t="s">
        <v>535</v>
      </c>
      <c r="B31" s="59" t="s">
        <v>515</v>
      </c>
      <c r="C31" s="52" t="s">
        <v>534</v>
      </c>
      <c r="D31" s="232" t="s">
        <v>26</v>
      </c>
      <c r="E31" s="52" t="s">
        <v>536</v>
      </c>
      <c r="F31" s="52" t="s">
        <v>406</v>
      </c>
      <c r="G31" s="53">
        <v>45689</v>
      </c>
      <c r="H31" s="52" t="s">
        <v>29</v>
      </c>
      <c r="I31" s="54" t="s">
        <v>407</v>
      </c>
      <c r="J31" s="54" t="s">
        <v>407</v>
      </c>
      <c r="K31" s="54" t="s">
        <v>407</v>
      </c>
      <c r="L31" s="54" t="s">
        <v>407</v>
      </c>
      <c r="M31" s="54" t="s">
        <v>407</v>
      </c>
      <c r="N31" s="129">
        <f t="shared" si="0"/>
        <v>0</v>
      </c>
      <c r="O31" s="55"/>
      <c r="P31" s="52" t="s">
        <v>466</v>
      </c>
      <c r="Q31" s="3"/>
      <c r="R31" s="1" t="s">
        <v>689</v>
      </c>
    </row>
    <row r="32" spans="1:18" ht="15.75" customHeight="1" x14ac:dyDescent="0.2">
      <c r="A32" s="2" t="s">
        <v>538</v>
      </c>
      <c r="B32" s="59" t="s">
        <v>516</v>
      </c>
      <c r="C32" s="52" t="s">
        <v>537</v>
      </c>
      <c r="D32" s="232" t="s">
        <v>26</v>
      </c>
      <c r="E32" s="52" t="s">
        <v>445</v>
      </c>
      <c r="F32" s="52" t="s">
        <v>406</v>
      </c>
      <c r="G32" s="53">
        <v>45692</v>
      </c>
      <c r="H32" s="52" t="s">
        <v>29</v>
      </c>
      <c r="I32" s="54" t="s">
        <v>407</v>
      </c>
      <c r="J32" s="54" t="s">
        <v>407</v>
      </c>
      <c r="K32" s="54" t="s">
        <v>407</v>
      </c>
      <c r="L32" s="54" t="s">
        <v>407</v>
      </c>
      <c r="M32" s="54" t="s">
        <v>407</v>
      </c>
      <c r="N32" s="129">
        <f t="shared" si="0"/>
        <v>0</v>
      </c>
      <c r="O32" s="55">
        <v>619</v>
      </c>
      <c r="P32" s="52" t="s">
        <v>425</v>
      </c>
      <c r="Q32" s="3"/>
      <c r="R32" s="1" t="s">
        <v>689</v>
      </c>
    </row>
    <row r="33" spans="1:18" s="43" customFormat="1" ht="24" customHeight="1" x14ac:dyDescent="0.2">
      <c r="A33" s="41" t="s">
        <v>462</v>
      </c>
      <c r="B33" s="59" t="s">
        <v>517</v>
      </c>
      <c r="C33" s="59" t="s">
        <v>542</v>
      </c>
      <c r="D33" s="232" t="s">
        <v>26</v>
      </c>
      <c r="E33" s="60" t="s">
        <v>458</v>
      </c>
      <c r="F33" s="78" t="s">
        <v>543</v>
      </c>
      <c r="G33" s="61">
        <v>45693</v>
      </c>
      <c r="H33" s="52" t="s">
        <v>29</v>
      </c>
      <c r="I33" s="63" t="s">
        <v>407</v>
      </c>
      <c r="J33" s="63" t="s">
        <v>407</v>
      </c>
      <c r="K33" s="63" t="s">
        <v>407</v>
      </c>
      <c r="L33" s="63" t="s">
        <v>407</v>
      </c>
      <c r="M33" s="63" t="s">
        <v>407</v>
      </c>
      <c r="N33" s="130">
        <f t="shared" si="0"/>
        <v>0</v>
      </c>
      <c r="O33" s="64">
        <v>424.5</v>
      </c>
      <c r="P33" s="60" t="s">
        <v>429</v>
      </c>
      <c r="Q33" s="93"/>
      <c r="R33" s="1" t="s">
        <v>689</v>
      </c>
    </row>
    <row r="34" spans="1:18" ht="15.75" customHeight="1" x14ac:dyDescent="0.2">
      <c r="A34" s="2" t="s">
        <v>418</v>
      </c>
      <c r="B34" s="59" t="s">
        <v>518</v>
      </c>
      <c r="C34" s="52" t="s">
        <v>544</v>
      </c>
      <c r="D34" s="232" t="s">
        <v>26</v>
      </c>
      <c r="E34" s="52" t="s">
        <v>413</v>
      </c>
      <c r="F34" s="52" t="s">
        <v>406</v>
      </c>
      <c r="G34" s="53">
        <v>45691</v>
      </c>
      <c r="H34" s="52" t="s">
        <v>29</v>
      </c>
      <c r="I34" s="63" t="s">
        <v>407</v>
      </c>
      <c r="J34" s="54">
        <v>136</v>
      </c>
      <c r="K34" s="54" t="s">
        <v>407</v>
      </c>
      <c r="L34" s="54">
        <v>15</v>
      </c>
      <c r="M34" s="54">
        <v>56.9</v>
      </c>
      <c r="N34" s="129">
        <f t="shared" ref="N34:N59" si="1">SUM(I34:M34)</f>
        <v>207.9</v>
      </c>
      <c r="O34" s="55"/>
      <c r="P34" s="52" t="s">
        <v>414</v>
      </c>
      <c r="Q34" s="3"/>
      <c r="R34" s="1" t="s">
        <v>689</v>
      </c>
    </row>
    <row r="35" spans="1:18" ht="15.75" customHeight="1" x14ac:dyDescent="0.2">
      <c r="A35" s="2" t="s">
        <v>418</v>
      </c>
      <c r="B35" s="59" t="s">
        <v>519</v>
      </c>
      <c r="C35" s="52" t="s">
        <v>545</v>
      </c>
      <c r="D35" s="232" t="s">
        <v>26</v>
      </c>
      <c r="E35" s="52" t="s">
        <v>413</v>
      </c>
      <c r="F35" s="52" t="s">
        <v>406</v>
      </c>
      <c r="G35" s="53">
        <v>45691</v>
      </c>
      <c r="H35" s="52" t="s">
        <v>29</v>
      </c>
      <c r="I35" s="63" t="s">
        <v>407</v>
      </c>
      <c r="J35" s="54">
        <v>140</v>
      </c>
      <c r="K35" s="54" t="s">
        <v>407</v>
      </c>
      <c r="L35" s="54">
        <v>15</v>
      </c>
      <c r="M35" s="54" t="s">
        <v>407</v>
      </c>
      <c r="N35" s="129">
        <f t="shared" si="1"/>
        <v>155</v>
      </c>
      <c r="O35" s="55"/>
      <c r="P35" s="52" t="s">
        <v>414</v>
      </c>
      <c r="Q35" s="3"/>
      <c r="R35" s="1" t="s">
        <v>689</v>
      </c>
    </row>
    <row r="36" spans="1:18" ht="15.75" customHeight="1" x14ac:dyDescent="0.2">
      <c r="A36" s="2" t="s">
        <v>418</v>
      </c>
      <c r="B36" s="59" t="s">
        <v>546</v>
      </c>
      <c r="C36" s="52" t="s">
        <v>569</v>
      </c>
      <c r="D36" s="232" t="s">
        <v>26</v>
      </c>
      <c r="E36" s="52" t="s">
        <v>413</v>
      </c>
      <c r="F36" s="52" t="s">
        <v>406</v>
      </c>
      <c r="G36" s="53">
        <v>45688</v>
      </c>
      <c r="H36" s="52" t="s">
        <v>29</v>
      </c>
      <c r="I36" s="63" t="s">
        <v>407</v>
      </c>
      <c r="J36" s="54">
        <v>124</v>
      </c>
      <c r="K36" s="54">
        <v>25</v>
      </c>
      <c r="L36" s="54">
        <v>15</v>
      </c>
      <c r="M36" s="54">
        <v>5</v>
      </c>
      <c r="N36" s="129">
        <f t="shared" si="1"/>
        <v>169</v>
      </c>
      <c r="O36" s="55"/>
      <c r="P36" s="52" t="s">
        <v>414</v>
      </c>
      <c r="Q36" s="3"/>
      <c r="R36" s="1" t="s">
        <v>689</v>
      </c>
    </row>
    <row r="37" spans="1:18" ht="15.75" customHeight="1" x14ac:dyDescent="0.2">
      <c r="A37" s="2" t="s">
        <v>506</v>
      </c>
      <c r="B37" s="59" t="s">
        <v>547</v>
      </c>
      <c r="C37" s="52" t="s">
        <v>570</v>
      </c>
      <c r="D37" s="232" t="s">
        <v>26</v>
      </c>
      <c r="E37" s="52" t="s">
        <v>413</v>
      </c>
      <c r="F37" s="52" t="s">
        <v>406</v>
      </c>
      <c r="G37" s="53">
        <v>45693</v>
      </c>
      <c r="H37" s="52" t="s">
        <v>29</v>
      </c>
      <c r="I37" s="63" t="s">
        <v>407</v>
      </c>
      <c r="J37" s="54">
        <v>180</v>
      </c>
      <c r="K37" s="54">
        <v>40</v>
      </c>
      <c r="L37" s="54">
        <v>27</v>
      </c>
      <c r="M37" s="54" t="s">
        <v>407</v>
      </c>
      <c r="N37" s="129">
        <f t="shared" si="1"/>
        <v>247</v>
      </c>
      <c r="O37" s="55"/>
      <c r="P37" s="52" t="s">
        <v>414</v>
      </c>
      <c r="Q37" s="3"/>
      <c r="R37" s="1" t="s">
        <v>689</v>
      </c>
    </row>
    <row r="38" spans="1:18" ht="45" customHeight="1" x14ac:dyDescent="0.2">
      <c r="A38" s="57" t="s">
        <v>572</v>
      </c>
      <c r="B38" s="59" t="s">
        <v>548</v>
      </c>
      <c r="C38" s="52" t="s">
        <v>571</v>
      </c>
      <c r="D38" s="232" t="s">
        <v>26</v>
      </c>
      <c r="E38" s="52" t="s">
        <v>445</v>
      </c>
      <c r="F38" s="52" t="s">
        <v>406</v>
      </c>
      <c r="G38" s="53">
        <v>45695</v>
      </c>
      <c r="H38" s="52" t="s">
        <v>29</v>
      </c>
      <c r="I38" s="63" t="s">
        <v>407</v>
      </c>
      <c r="J38" s="63" t="s">
        <v>407</v>
      </c>
      <c r="K38" s="63" t="s">
        <v>407</v>
      </c>
      <c r="L38" s="63" t="s">
        <v>407</v>
      </c>
      <c r="M38" s="63" t="s">
        <v>407</v>
      </c>
      <c r="N38" s="129">
        <f t="shared" si="1"/>
        <v>0</v>
      </c>
      <c r="O38" s="55"/>
      <c r="P38" s="52" t="s">
        <v>414</v>
      </c>
      <c r="Q38" s="3"/>
      <c r="R38" s="1" t="s">
        <v>689</v>
      </c>
    </row>
    <row r="39" spans="1:18" ht="57" customHeight="1" x14ac:dyDescent="0.2">
      <c r="A39" s="57" t="s">
        <v>575</v>
      </c>
      <c r="B39" s="59" t="s">
        <v>549</v>
      </c>
      <c r="C39" s="75" t="s">
        <v>573</v>
      </c>
      <c r="D39" s="232" t="s">
        <v>26</v>
      </c>
      <c r="E39" s="52" t="s">
        <v>436</v>
      </c>
      <c r="F39" s="52" t="s">
        <v>406</v>
      </c>
      <c r="G39" s="75" t="s">
        <v>574</v>
      </c>
      <c r="H39" s="52" t="s">
        <v>29</v>
      </c>
      <c r="I39" s="63" t="s">
        <v>407</v>
      </c>
      <c r="J39" s="54">
        <v>33.5</v>
      </c>
      <c r="K39" s="54" t="s">
        <v>407</v>
      </c>
      <c r="L39" s="54">
        <v>38</v>
      </c>
      <c r="M39" s="54" t="s">
        <v>407</v>
      </c>
      <c r="N39" s="129">
        <f t="shared" si="1"/>
        <v>71.5</v>
      </c>
      <c r="O39" s="55"/>
      <c r="P39" s="52" t="s">
        <v>520</v>
      </c>
      <c r="Q39" s="3"/>
      <c r="R39" s="1" t="s">
        <v>689</v>
      </c>
    </row>
    <row r="40" spans="1:18" ht="26.25" customHeight="1" x14ac:dyDescent="0.2">
      <c r="A40" s="57" t="s">
        <v>577</v>
      </c>
      <c r="B40" s="59" t="s">
        <v>550</v>
      </c>
      <c r="C40" s="52" t="s">
        <v>576</v>
      </c>
      <c r="D40" s="232" t="s">
        <v>26</v>
      </c>
      <c r="E40" s="52" t="s">
        <v>445</v>
      </c>
      <c r="F40" s="52" t="s">
        <v>406</v>
      </c>
      <c r="G40" s="53">
        <v>45695</v>
      </c>
      <c r="H40" s="52" t="s">
        <v>29</v>
      </c>
      <c r="I40" s="63" t="s">
        <v>407</v>
      </c>
      <c r="J40" s="63" t="s">
        <v>407</v>
      </c>
      <c r="K40" s="63" t="s">
        <v>407</v>
      </c>
      <c r="L40" s="63" t="s">
        <v>407</v>
      </c>
      <c r="M40" s="63" t="s">
        <v>407</v>
      </c>
      <c r="N40" s="129">
        <f t="shared" si="1"/>
        <v>0</v>
      </c>
      <c r="O40" s="55"/>
      <c r="P40" s="52" t="s">
        <v>489</v>
      </c>
      <c r="Q40" s="3"/>
      <c r="R40" s="1" t="s">
        <v>689</v>
      </c>
    </row>
    <row r="41" spans="1:18" ht="15.75" customHeight="1" x14ac:dyDescent="0.2">
      <c r="A41" s="2" t="s">
        <v>535</v>
      </c>
      <c r="B41" s="59" t="s">
        <v>551</v>
      </c>
      <c r="C41" s="52" t="s">
        <v>534</v>
      </c>
      <c r="D41" s="232" t="s">
        <v>26</v>
      </c>
      <c r="E41" s="52" t="s">
        <v>536</v>
      </c>
      <c r="F41" s="52" t="s">
        <v>406</v>
      </c>
      <c r="G41" s="53">
        <v>45690</v>
      </c>
      <c r="H41" s="52" t="s">
        <v>29</v>
      </c>
      <c r="I41" s="63" t="s">
        <v>407</v>
      </c>
      <c r="J41" s="54">
        <v>50</v>
      </c>
      <c r="K41" s="54">
        <v>64.69</v>
      </c>
      <c r="L41" s="54" t="s">
        <v>407</v>
      </c>
      <c r="M41" s="54">
        <v>20</v>
      </c>
      <c r="N41" s="129">
        <f t="shared" si="1"/>
        <v>134.69</v>
      </c>
      <c r="O41" s="55"/>
      <c r="P41" s="52" t="s">
        <v>466</v>
      </c>
      <c r="Q41" s="3"/>
      <c r="R41" s="1" t="s">
        <v>689</v>
      </c>
    </row>
    <row r="42" spans="1:18" ht="15.75" customHeight="1" x14ac:dyDescent="0.2">
      <c r="A42" s="2" t="s">
        <v>418</v>
      </c>
      <c r="B42" s="59" t="s">
        <v>552</v>
      </c>
      <c r="C42" s="52" t="s">
        <v>579</v>
      </c>
      <c r="D42" s="232" t="s">
        <v>26</v>
      </c>
      <c r="E42" s="52" t="s">
        <v>413</v>
      </c>
      <c r="F42" s="52" t="s">
        <v>406</v>
      </c>
      <c r="G42" s="53">
        <v>45696</v>
      </c>
      <c r="H42" s="52" t="s">
        <v>29</v>
      </c>
      <c r="I42" s="63" t="s">
        <v>407</v>
      </c>
      <c r="J42" s="54">
        <v>198</v>
      </c>
      <c r="K42" s="54" t="s">
        <v>407</v>
      </c>
      <c r="L42" s="54">
        <v>15</v>
      </c>
      <c r="M42" s="54" t="s">
        <v>407</v>
      </c>
      <c r="N42" s="129">
        <f t="shared" si="1"/>
        <v>213</v>
      </c>
      <c r="O42" s="55"/>
      <c r="P42" s="52" t="s">
        <v>414</v>
      </c>
      <c r="Q42" s="3"/>
      <c r="R42" s="1" t="s">
        <v>689</v>
      </c>
    </row>
    <row r="43" spans="1:18" ht="27.75" customHeight="1" x14ac:dyDescent="0.2">
      <c r="A43" s="57" t="s">
        <v>580</v>
      </c>
      <c r="B43" s="94" t="s">
        <v>553</v>
      </c>
      <c r="C43" s="99" t="s">
        <v>581</v>
      </c>
      <c r="D43" s="232" t="s">
        <v>26</v>
      </c>
      <c r="E43" s="95" t="s">
        <v>445</v>
      </c>
      <c r="F43" s="95" t="s">
        <v>406</v>
      </c>
      <c r="G43" s="96">
        <v>45699</v>
      </c>
      <c r="H43" s="52" t="s">
        <v>29</v>
      </c>
      <c r="I43" s="120" t="s">
        <v>407</v>
      </c>
      <c r="J43" s="120" t="s">
        <v>407</v>
      </c>
      <c r="K43" s="120" t="s">
        <v>407</v>
      </c>
      <c r="L43" s="120" t="s">
        <v>407</v>
      </c>
      <c r="M43" s="120" t="s">
        <v>407</v>
      </c>
      <c r="N43" s="131">
        <f t="shared" si="1"/>
        <v>0</v>
      </c>
      <c r="O43" s="98"/>
      <c r="P43" s="95" t="s">
        <v>414</v>
      </c>
      <c r="Q43" s="3"/>
      <c r="R43" s="1" t="s">
        <v>689</v>
      </c>
    </row>
    <row r="44" spans="1:18" ht="39" customHeight="1" x14ac:dyDescent="0.2">
      <c r="A44" s="57" t="s">
        <v>583</v>
      </c>
      <c r="B44" s="59" t="s">
        <v>554</v>
      </c>
      <c r="C44" s="75" t="s">
        <v>584</v>
      </c>
      <c r="D44" s="232" t="s">
        <v>26</v>
      </c>
      <c r="E44" s="52" t="s">
        <v>445</v>
      </c>
      <c r="F44" s="52" t="s">
        <v>406</v>
      </c>
      <c r="G44" s="53">
        <v>45701</v>
      </c>
      <c r="H44" s="52" t="s">
        <v>29</v>
      </c>
      <c r="I44" s="54" t="s">
        <v>407</v>
      </c>
      <c r="J44" s="54" t="s">
        <v>407</v>
      </c>
      <c r="K44" s="54" t="s">
        <v>407</v>
      </c>
      <c r="L44" s="54" t="s">
        <v>407</v>
      </c>
      <c r="M44" s="54" t="s">
        <v>407</v>
      </c>
      <c r="N44" s="129">
        <f t="shared" si="1"/>
        <v>0</v>
      </c>
      <c r="O44" s="189">
        <v>703.5</v>
      </c>
      <c r="P44" s="52" t="s">
        <v>425</v>
      </c>
      <c r="Q44" s="3" t="s">
        <v>689</v>
      </c>
      <c r="R44" s="1"/>
    </row>
    <row r="45" spans="1:18" ht="15.75" customHeight="1" x14ac:dyDescent="0.2">
      <c r="A45" s="2" t="s">
        <v>430</v>
      </c>
      <c r="B45" s="94" t="s">
        <v>555</v>
      </c>
      <c r="C45" s="95" t="s">
        <v>586</v>
      </c>
      <c r="D45" s="232" t="s">
        <v>26</v>
      </c>
      <c r="E45" s="95" t="s">
        <v>491</v>
      </c>
      <c r="F45" s="95" t="s">
        <v>406</v>
      </c>
      <c r="G45" s="96">
        <v>45701</v>
      </c>
      <c r="H45" s="52" t="s">
        <v>29</v>
      </c>
      <c r="I45" s="97" t="s">
        <v>407</v>
      </c>
      <c r="J45" s="97">
        <v>50</v>
      </c>
      <c r="K45" s="97" t="s">
        <v>407</v>
      </c>
      <c r="L45" s="97">
        <v>40</v>
      </c>
      <c r="M45" s="97">
        <v>110</v>
      </c>
      <c r="N45" s="131">
        <f t="shared" si="1"/>
        <v>200</v>
      </c>
      <c r="O45" s="98">
        <v>206.1</v>
      </c>
      <c r="P45" s="95" t="s">
        <v>585</v>
      </c>
      <c r="Q45" s="3" t="s">
        <v>689</v>
      </c>
      <c r="R45" s="1" t="s">
        <v>689</v>
      </c>
    </row>
    <row r="46" spans="1:18" ht="25.5" customHeight="1" x14ac:dyDescent="0.2">
      <c r="A46" s="57" t="s">
        <v>587</v>
      </c>
      <c r="B46" s="94" t="s">
        <v>556</v>
      </c>
      <c r="C46" s="95" t="s">
        <v>588</v>
      </c>
      <c r="D46" s="3" t="s">
        <v>1356</v>
      </c>
      <c r="E46" s="95" t="s">
        <v>436</v>
      </c>
      <c r="F46" s="95" t="s">
        <v>406</v>
      </c>
      <c r="G46" s="96">
        <v>45701</v>
      </c>
      <c r="H46" s="52" t="s">
        <v>29</v>
      </c>
      <c r="I46" s="97" t="s">
        <v>407</v>
      </c>
      <c r="J46" s="97">
        <v>33.5</v>
      </c>
      <c r="K46" s="97" t="s">
        <v>407</v>
      </c>
      <c r="L46" s="97">
        <v>28</v>
      </c>
      <c r="M46" s="97" t="s">
        <v>407</v>
      </c>
      <c r="N46" s="131">
        <f t="shared" si="1"/>
        <v>61.5</v>
      </c>
      <c r="O46" s="98"/>
      <c r="P46" s="95" t="s">
        <v>520</v>
      </c>
      <c r="Q46" s="3" t="s">
        <v>689</v>
      </c>
      <c r="R46" s="1" t="s">
        <v>689</v>
      </c>
    </row>
    <row r="47" spans="1:18" ht="72" customHeight="1" x14ac:dyDescent="0.2">
      <c r="A47" s="57" t="s">
        <v>592</v>
      </c>
      <c r="B47" s="94" t="s">
        <v>557</v>
      </c>
      <c r="C47" s="99" t="s">
        <v>590</v>
      </c>
      <c r="D47" s="232" t="s">
        <v>26</v>
      </c>
      <c r="E47" s="95" t="s">
        <v>436</v>
      </c>
      <c r="F47" s="99" t="s">
        <v>593</v>
      </c>
      <c r="G47" s="100" t="s">
        <v>591</v>
      </c>
      <c r="H47" s="52" t="s">
        <v>29</v>
      </c>
      <c r="I47" s="97" t="s">
        <v>407</v>
      </c>
      <c r="J47" s="97">
        <v>232</v>
      </c>
      <c r="K47" s="97" t="s">
        <v>407</v>
      </c>
      <c r="L47" s="97">
        <v>75</v>
      </c>
      <c r="M47" s="97" t="s">
        <v>407</v>
      </c>
      <c r="N47" s="131">
        <f t="shared" si="1"/>
        <v>307</v>
      </c>
      <c r="O47" s="98"/>
      <c r="P47" s="95" t="s">
        <v>489</v>
      </c>
      <c r="Q47" s="3" t="s">
        <v>689</v>
      </c>
      <c r="R47" s="1" t="s">
        <v>689</v>
      </c>
    </row>
    <row r="48" spans="1:18" ht="40.5" customHeight="1" x14ac:dyDescent="0.2">
      <c r="A48" s="57" t="s">
        <v>595</v>
      </c>
      <c r="B48" s="94" t="s">
        <v>558</v>
      </c>
      <c r="C48" s="95" t="s">
        <v>594</v>
      </c>
      <c r="D48" s="232" t="s">
        <v>26</v>
      </c>
      <c r="E48" s="95" t="s">
        <v>445</v>
      </c>
      <c r="F48" s="95" t="s">
        <v>406</v>
      </c>
      <c r="G48" s="101">
        <v>45693</v>
      </c>
      <c r="H48" s="52" t="s">
        <v>29</v>
      </c>
      <c r="I48" s="97" t="s">
        <v>407</v>
      </c>
      <c r="J48" s="97">
        <v>53.5</v>
      </c>
      <c r="K48" s="97" t="s">
        <v>407</v>
      </c>
      <c r="L48" s="97">
        <v>30</v>
      </c>
      <c r="M48" s="97" t="s">
        <v>407</v>
      </c>
      <c r="N48" s="131">
        <f t="shared" si="1"/>
        <v>83.5</v>
      </c>
      <c r="O48" s="98"/>
      <c r="P48" s="95" t="s">
        <v>439</v>
      </c>
      <c r="Q48" s="3" t="s">
        <v>689</v>
      </c>
      <c r="R48" s="1" t="s">
        <v>689</v>
      </c>
    </row>
    <row r="49" spans="1:18" ht="15.75" customHeight="1" x14ac:dyDescent="0.2">
      <c r="A49" s="2" t="s">
        <v>443</v>
      </c>
      <c r="B49" s="59" t="s">
        <v>559</v>
      </c>
      <c r="C49" s="52" t="s">
        <v>596</v>
      </c>
      <c r="D49" s="232" t="s">
        <v>26</v>
      </c>
      <c r="E49" s="52" t="s">
        <v>445</v>
      </c>
      <c r="F49" s="52" t="s">
        <v>406</v>
      </c>
      <c r="G49" s="190">
        <v>45702</v>
      </c>
      <c r="H49" s="52" t="s">
        <v>29</v>
      </c>
      <c r="I49" s="54" t="s">
        <v>407</v>
      </c>
      <c r="J49" s="54" t="s">
        <v>407</v>
      </c>
      <c r="K49" s="54" t="s">
        <v>407</v>
      </c>
      <c r="L49" s="54" t="s">
        <v>407</v>
      </c>
      <c r="M49" s="54" t="s">
        <v>407</v>
      </c>
      <c r="N49" s="129">
        <f t="shared" si="1"/>
        <v>0</v>
      </c>
      <c r="O49" s="189">
        <v>469</v>
      </c>
      <c r="P49" s="52" t="s">
        <v>425</v>
      </c>
      <c r="Q49" s="3"/>
      <c r="R49" s="1"/>
    </row>
    <row r="50" spans="1:18" ht="30.75" customHeight="1" x14ac:dyDescent="0.2">
      <c r="A50" s="2" t="s">
        <v>418</v>
      </c>
      <c r="B50" s="94" t="s">
        <v>560</v>
      </c>
      <c r="C50" s="95" t="s">
        <v>597</v>
      </c>
      <c r="D50" s="232" t="s">
        <v>26</v>
      </c>
      <c r="E50" s="95" t="s">
        <v>413</v>
      </c>
      <c r="F50" s="95" t="s">
        <v>406</v>
      </c>
      <c r="G50" s="99" t="s">
        <v>598</v>
      </c>
      <c r="H50" s="52" t="s">
        <v>29</v>
      </c>
      <c r="I50" s="97" t="s">
        <v>407</v>
      </c>
      <c r="J50" s="97" t="s">
        <v>407</v>
      </c>
      <c r="K50" s="97" t="s">
        <v>407</v>
      </c>
      <c r="L50" s="97" t="s">
        <v>407</v>
      </c>
      <c r="M50" s="97" t="s">
        <v>407</v>
      </c>
      <c r="N50" s="131">
        <f t="shared" si="1"/>
        <v>0</v>
      </c>
      <c r="O50" s="98"/>
      <c r="P50" s="95" t="s">
        <v>414</v>
      </c>
      <c r="Q50" s="3"/>
      <c r="R50" s="1" t="s">
        <v>689</v>
      </c>
    </row>
    <row r="51" spans="1:18" ht="39" customHeight="1" x14ac:dyDescent="0.2">
      <c r="A51" s="80" t="s">
        <v>437</v>
      </c>
      <c r="B51" s="94" t="s">
        <v>561</v>
      </c>
      <c r="C51" s="102" t="s">
        <v>599</v>
      </c>
      <c r="D51" s="234" t="s">
        <v>435</v>
      </c>
      <c r="E51" s="95" t="s">
        <v>445</v>
      </c>
      <c r="F51" s="95" t="s">
        <v>406</v>
      </c>
      <c r="G51" s="101">
        <v>45705</v>
      </c>
      <c r="H51" s="52" t="s">
        <v>29</v>
      </c>
      <c r="I51" s="97" t="s">
        <v>407</v>
      </c>
      <c r="J51" s="97" t="s">
        <v>407</v>
      </c>
      <c r="K51" s="97" t="s">
        <v>407</v>
      </c>
      <c r="L51" s="97" t="s">
        <v>407</v>
      </c>
      <c r="M51" s="97" t="s">
        <v>407</v>
      </c>
      <c r="N51" s="131">
        <f t="shared" si="1"/>
        <v>0</v>
      </c>
      <c r="O51" s="98"/>
      <c r="P51" s="95" t="s">
        <v>417</v>
      </c>
      <c r="Q51" s="3"/>
      <c r="R51" s="1" t="s">
        <v>689</v>
      </c>
    </row>
    <row r="52" spans="1:18" ht="15.75" customHeight="1" x14ac:dyDescent="0.2">
      <c r="A52" s="2" t="s">
        <v>601</v>
      </c>
      <c r="B52" s="94" t="s">
        <v>562</v>
      </c>
      <c r="C52" s="95" t="s">
        <v>600</v>
      </c>
      <c r="D52" s="232" t="s">
        <v>26</v>
      </c>
      <c r="E52" s="95" t="s">
        <v>445</v>
      </c>
      <c r="F52" s="95" t="s">
        <v>406</v>
      </c>
      <c r="G52" s="101">
        <v>45705</v>
      </c>
      <c r="H52" s="52" t="s">
        <v>29</v>
      </c>
      <c r="I52" s="97" t="s">
        <v>407</v>
      </c>
      <c r="J52" s="97" t="s">
        <v>407</v>
      </c>
      <c r="K52" s="97" t="s">
        <v>407</v>
      </c>
      <c r="L52" s="97" t="s">
        <v>407</v>
      </c>
      <c r="M52" s="97" t="s">
        <v>407</v>
      </c>
      <c r="N52" s="131">
        <f t="shared" si="1"/>
        <v>0</v>
      </c>
      <c r="O52" s="103"/>
      <c r="P52" s="95" t="s">
        <v>489</v>
      </c>
      <c r="Q52" s="3"/>
      <c r="R52" s="1" t="s">
        <v>689</v>
      </c>
    </row>
    <row r="53" spans="1:18" ht="35.25" customHeight="1" x14ac:dyDescent="0.2">
      <c r="A53" s="57" t="s">
        <v>577</v>
      </c>
      <c r="B53" s="94" t="s">
        <v>563</v>
      </c>
      <c r="C53" s="95" t="s">
        <v>619</v>
      </c>
      <c r="D53" s="232" t="s">
        <v>26</v>
      </c>
      <c r="E53" s="95" t="s">
        <v>445</v>
      </c>
      <c r="F53" s="95" t="s">
        <v>406</v>
      </c>
      <c r="G53" s="101">
        <v>45703</v>
      </c>
      <c r="H53" s="52" t="s">
        <v>29</v>
      </c>
      <c r="I53" s="97" t="s">
        <v>407</v>
      </c>
      <c r="J53" s="97" t="s">
        <v>407</v>
      </c>
      <c r="K53" s="97" t="s">
        <v>407</v>
      </c>
      <c r="L53" s="97" t="s">
        <v>407</v>
      </c>
      <c r="M53" s="97" t="s">
        <v>407</v>
      </c>
      <c r="N53" s="131">
        <f t="shared" si="1"/>
        <v>0</v>
      </c>
      <c r="O53" s="98"/>
      <c r="P53" s="95" t="s">
        <v>414</v>
      </c>
      <c r="Q53" s="3"/>
      <c r="R53" s="1" t="s">
        <v>689</v>
      </c>
    </row>
    <row r="54" spans="1:18" ht="15.75" customHeight="1" x14ac:dyDescent="0.2">
      <c r="A54" s="3" t="s">
        <v>620</v>
      </c>
      <c r="B54" s="94" t="s">
        <v>564</v>
      </c>
      <c r="C54" s="95" t="s">
        <v>621</v>
      </c>
      <c r="D54" s="3" t="s">
        <v>26</v>
      </c>
      <c r="E54" s="95" t="s">
        <v>445</v>
      </c>
      <c r="F54" s="95" t="s">
        <v>406</v>
      </c>
      <c r="G54" s="101">
        <v>45706</v>
      </c>
      <c r="H54" s="52" t="s">
        <v>29</v>
      </c>
      <c r="I54" s="97"/>
      <c r="J54" s="97"/>
      <c r="K54" s="97"/>
      <c r="L54" s="97"/>
      <c r="M54" s="97"/>
      <c r="N54" s="131">
        <f t="shared" si="1"/>
        <v>0</v>
      </c>
      <c r="O54" s="98"/>
      <c r="P54" s="95" t="s">
        <v>414</v>
      </c>
      <c r="Q54" s="3"/>
      <c r="R54" s="1" t="s">
        <v>689</v>
      </c>
    </row>
    <row r="55" spans="1:18" ht="32.25" customHeight="1" x14ac:dyDescent="0.2">
      <c r="A55" s="77" t="s">
        <v>622</v>
      </c>
      <c r="B55" s="94" t="s">
        <v>565</v>
      </c>
      <c r="C55" s="95" t="s">
        <v>623</v>
      </c>
      <c r="D55" s="232" t="s">
        <v>26</v>
      </c>
      <c r="E55" s="95" t="s">
        <v>445</v>
      </c>
      <c r="F55" s="95" t="s">
        <v>406</v>
      </c>
      <c r="G55" s="101">
        <v>45707</v>
      </c>
      <c r="H55" s="52" t="s">
        <v>29</v>
      </c>
      <c r="I55" s="97"/>
      <c r="J55" s="97"/>
      <c r="K55" s="97"/>
      <c r="L55" s="97"/>
      <c r="M55" s="97"/>
      <c r="N55" s="131">
        <f t="shared" si="1"/>
        <v>0</v>
      </c>
      <c r="O55" s="98"/>
      <c r="P55" s="95" t="s">
        <v>414</v>
      </c>
      <c r="Q55" s="3"/>
      <c r="R55" s="1" t="s">
        <v>689</v>
      </c>
    </row>
    <row r="56" spans="1:18" ht="15.75" customHeight="1" x14ac:dyDescent="0.2">
      <c r="A56" s="3" t="s">
        <v>620</v>
      </c>
      <c r="B56" s="94" t="s">
        <v>566</v>
      </c>
      <c r="C56" s="95" t="s">
        <v>624</v>
      </c>
      <c r="D56" s="232" t="s">
        <v>26</v>
      </c>
      <c r="E56" s="95" t="s">
        <v>625</v>
      </c>
      <c r="F56" s="95" t="s">
        <v>406</v>
      </c>
      <c r="G56" s="101">
        <v>45707</v>
      </c>
      <c r="H56" s="52" t="s">
        <v>29</v>
      </c>
      <c r="I56" s="97"/>
      <c r="J56" s="97"/>
      <c r="K56" s="97"/>
      <c r="L56" s="97"/>
      <c r="M56" s="97"/>
      <c r="N56" s="131">
        <f t="shared" si="1"/>
        <v>0</v>
      </c>
      <c r="O56" s="98"/>
      <c r="P56" s="95" t="s">
        <v>489</v>
      </c>
      <c r="Q56" s="3"/>
      <c r="R56" s="1" t="s">
        <v>689</v>
      </c>
    </row>
    <row r="57" spans="1:18" ht="15.75" customHeight="1" x14ac:dyDescent="0.2">
      <c r="A57" s="2" t="s">
        <v>622</v>
      </c>
      <c r="B57" s="94" t="s">
        <v>567</v>
      </c>
      <c r="C57" s="95" t="s">
        <v>635</v>
      </c>
      <c r="D57" s="232" t="s">
        <v>26</v>
      </c>
      <c r="E57" s="95" t="s">
        <v>445</v>
      </c>
      <c r="F57" s="95" t="s">
        <v>406</v>
      </c>
      <c r="G57" s="101">
        <v>45706</v>
      </c>
      <c r="H57" s="52" t="s">
        <v>29</v>
      </c>
      <c r="I57" s="97"/>
      <c r="J57" s="97"/>
      <c r="K57" s="97"/>
      <c r="L57" s="97"/>
      <c r="M57" s="97"/>
      <c r="N57" s="131">
        <f t="shared" si="1"/>
        <v>0</v>
      </c>
      <c r="O57" s="103"/>
      <c r="P57" s="95" t="s">
        <v>439</v>
      </c>
      <c r="Q57" s="3"/>
      <c r="R57" s="1" t="s">
        <v>689</v>
      </c>
    </row>
    <row r="58" spans="1:18" ht="15.75" customHeight="1" x14ac:dyDescent="0.2">
      <c r="A58" s="2" t="s">
        <v>636</v>
      </c>
      <c r="B58" s="94" t="s">
        <v>568</v>
      </c>
      <c r="C58" s="95" t="s">
        <v>637</v>
      </c>
      <c r="D58" s="232" t="s">
        <v>26</v>
      </c>
      <c r="E58" s="95" t="s">
        <v>445</v>
      </c>
      <c r="F58" s="95" t="s">
        <v>406</v>
      </c>
      <c r="G58" s="101">
        <v>45707</v>
      </c>
      <c r="H58" s="52" t="s">
        <v>29</v>
      </c>
      <c r="I58" s="97"/>
      <c r="J58" s="97"/>
      <c r="K58" s="97"/>
      <c r="L58" s="97"/>
      <c r="M58" s="97"/>
      <c r="N58" s="131">
        <f t="shared" si="1"/>
        <v>0</v>
      </c>
      <c r="O58" s="98"/>
      <c r="P58" s="95" t="s">
        <v>414</v>
      </c>
      <c r="Q58" s="3"/>
      <c r="R58" s="1" t="s">
        <v>689</v>
      </c>
    </row>
    <row r="59" spans="1:18" ht="15.75" customHeight="1" x14ac:dyDescent="0.2">
      <c r="A59" s="2" t="s">
        <v>443</v>
      </c>
      <c r="B59" s="94" t="s">
        <v>602</v>
      </c>
      <c r="C59" s="95" t="s">
        <v>638</v>
      </c>
      <c r="D59" s="232" t="s">
        <v>26</v>
      </c>
      <c r="E59" s="95" t="s">
        <v>445</v>
      </c>
      <c r="F59" s="95" t="s">
        <v>406</v>
      </c>
      <c r="G59" s="101">
        <v>45712</v>
      </c>
      <c r="H59" s="52" t="s">
        <v>29</v>
      </c>
      <c r="I59" s="97"/>
      <c r="J59" s="97"/>
      <c r="K59" s="97"/>
      <c r="L59" s="97"/>
      <c r="M59" s="97"/>
      <c r="N59" s="131">
        <f t="shared" si="1"/>
        <v>0</v>
      </c>
      <c r="O59" s="103">
        <v>483</v>
      </c>
      <c r="P59" s="95" t="s">
        <v>414</v>
      </c>
      <c r="Q59" s="3" t="s">
        <v>689</v>
      </c>
      <c r="R59" s="154">
        <v>45730</v>
      </c>
    </row>
    <row r="60" spans="1:18" ht="25.5" customHeight="1" x14ac:dyDescent="0.2">
      <c r="A60" s="57" t="s">
        <v>639</v>
      </c>
      <c r="B60" s="94" t="s">
        <v>603</v>
      </c>
      <c r="C60" s="95" t="s">
        <v>640</v>
      </c>
      <c r="D60" s="232" t="s">
        <v>26</v>
      </c>
      <c r="E60" s="95" t="s">
        <v>445</v>
      </c>
      <c r="F60" s="95" t="s">
        <v>406</v>
      </c>
      <c r="G60" s="101">
        <v>45712</v>
      </c>
      <c r="H60" s="52" t="s">
        <v>29</v>
      </c>
      <c r="I60" s="97"/>
      <c r="J60" s="97"/>
      <c r="K60" s="97"/>
      <c r="L60" s="97"/>
      <c r="M60" s="97"/>
      <c r="N60" s="131">
        <v>500</v>
      </c>
      <c r="O60" s="98"/>
      <c r="P60" s="95" t="s">
        <v>489</v>
      </c>
      <c r="Q60" s="3" t="s">
        <v>689</v>
      </c>
      <c r="R60" s="1" t="s">
        <v>689</v>
      </c>
    </row>
    <row r="61" spans="1:18" ht="30.75" customHeight="1" x14ac:dyDescent="0.2">
      <c r="A61" s="57" t="s">
        <v>641</v>
      </c>
      <c r="B61" s="94" t="s">
        <v>604</v>
      </c>
      <c r="C61" s="99" t="s">
        <v>642</v>
      </c>
      <c r="D61" s="232" t="s">
        <v>26</v>
      </c>
      <c r="E61" s="95" t="s">
        <v>413</v>
      </c>
      <c r="F61" s="95" t="s">
        <v>461</v>
      </c>
      <c r="G61" s="99" t="s">
        <v>644</v>
      </c>
      <c r="H61" s="52" t="s">
        <v>29</v>
      </c>
      <c r="I61" s="97"/>
      <c r="J61" s="97"/>
      <c r="K61" s="97"/>
      <c r="L61" s="97"/>
      <c r="M61" s="97"/>
      <c r="N61" s="131">
        <f t="shared" ref="N61:N67" si="2">SUM(I61:M61)</f>
        <v>0</v>
      </c>
      <c r="O61" s="103"/>
      <c r="P61" s="95" t="s">
        <v>643</v>
      </c>
      <c r="Q61" s="3" t="s">
        <v>689</v>
      </c>
      <c r="R61" s="1" t="s">
        <v>689</v>
      </c>
    </row>
    <row r="62" spans="1:18" ht="24.75" customHeight="1" x14ac:dyDescent="0.2">
      <c r="A62" s="57" t="s">
        <v>646</v>
      </c>
      <c r="B62" s="94" t="s">
        <v>605</v>
      </c>
      <c r="C62" s="99" t="s">
        <v>645</v>
      </c>
      <c r="D62" s="232" t="s">
        <v>26</v>
      </c>
      <c r="E62" s="95" t="s">
        <v>449</v>
      </c>
      <c r="F62" s="95" t="s">
        <v>406</v>
      </c>
      <c r="G62" s="101">
        <v>45705</v>
      </c>
      <c r="H62" s="52" t="s">
        <v>29</v>
      </c>
      <c r="I62" s="97"/>
      <c r="J62" s="97"/>
      <c r="K62" s="97"/>
      <c r="L62" s="97"/>
      <c r="M62" s="97"/>
      <c r="N62" s="131">
        <f t="shared" si="2"/>
        <v>0</v>
      </c>
      <c r="O62" s="103"/>
      <c r="P62" s="95" t="s">
        <v>643</v>
      </c>
      <c r="Q62" s="3" t="s">
        <v>689</v>
      </c>
      <c r="R62" s="1" t="s">
        <v>689</v>
      </c>
    </row>
    <row r="63" spans="1:18" ht="34.5" customHeight="1" x14ac:dyDescent="0.2">
      <c r="A63" s="57" t="s">
        <v>648</v>
      </c>
      <c r="B63" s="94" t="s">
        <v>606</v>
      </c>
      <c r="C63" s="99" t="s">
        <v>647</v>
      </c>
      <c r="D63" s="232" t="s">
        <v>26</v>
      </c>
      <c r="E63" s="95" t="s">
        <v>413</v>
      </c>
      <c r="F63" s="95" t="s">
        <v>406</v>
      </c>
      <c r="G63" s="101">
        <v>45710</v>
      </c>
      <c r="H63" s="52" t="s">
        <v>29</v>
      </c>
      <c r="I63" s="97"/>
      <c r="J63" s="97"/>
      <c r="K63" s="97"/>
      <c r="L63" s="97"/>
      <c r="M63" s="97"/>
      <c r="N63" s="131">
        <f t="shared" si="2"/>
        <v>0</v>
      </c>
      <c r="O63" s="103"/>
      <c r="P63" s="95" t="s">
        <v>643</v>
      </c>
      <c r="Q63" s="3" t="s">
        <v>689</v>
      </c>
      <c r="R63" s="1" t="s">
        <v>689</v>
      </c>
    </row>
    <row r="64" spans="1:18" ht="15.75" customHeight="1" x14ac:dyDescent="0.2">
      <c r="A64" s="57" t="s">
        <v>649</v>
      </c>
      <c r="B64" s="94" t="s">
        <v>607</v>
      </c>
      <c r="C64" s="95" t="s">
        <v>650</v>
      </c>
      <c r="D64" s="232" t="s">
        <v>26</v>
      </c>
      <c r="E64" s="95" t="s">
        <v>413</v>
      </c>
      <c r="F64" s="95" t="s">
        <v>406</v>
      </c>
      <c r="G64" s="101">
        <v>45710</v>
      </c>
      <c r="H64" s="52" t="s">
        <v>29</v>
      </c>
      <c r="I64" s="97"/>
      <c r="J64" s="97"/>
      <c r="K64" s="97"/>
      <c r="L64" s="97"/>
      <c r="M64" s="97"/>
      <c r="N64" s="131">
        <f t="shared" si="2"/>
        <v>0</v>
      </c>
      <c r="O64" s="103"/>
      <c r="P64" s="95" t="s">
        <v>643</v>
      </c>
      <c r="Q64" s="3" t="s">
        <v>689</v>
      </c>
      <c r="R64" s="1" t="s">
        <v>689</v>
      </c>
    </row>
    <row r="65" spans="1:18" ht="15.75" customHeight="1" x14ac:dyDescent="0.2">
      <c r="A65" s="2" t="s">
        <v>653</v>
      </c>
      <c r="B65" s="94" t="s">
        <v>608</v>
      </c>
      <c r="C65" s="95" t="s">
        <v>654</v>
      </c>
      <c r="D65" s="232" t="s">
        <v>26</v>
      </c>
      <c r="E65" s="95" t="s">
        <v>413</v>
      </c>
      <c r="F65" s="95" t="s">
        <v>406</v>
      </c>
      <c r="G65" s="101">
        <v>45710</v>
      </c>
      <c r="H65" s="52" t="s">
        <v>29</v>
      </c>
      <c r="I65" s="97"/>
      <c r="J65" s="97"/>
      <c r="K65" s="97"/>
      <c r="L65" s="97"/>
      <c r="M65" s="97"/>
      <c r="N65" s="131">
        <f t="shared" si="2"/>
        <v>0</v>
      </c>
      <c r="O65" s="98"/>
      <c r="P65" s="95" t="s">
        <v>466</v>
      </c>
      <c r="Q65" s="3" t="s">
        <v>689</v>
      </c>
      <c r="R65" s="1" t="s">
        <v>689</v>
      </c>
    </row>
    <row r="66" spans="1:18" ht="15.75" customHeight="1" x14ac:dyDescent="0.2">
      <c r="A66" s="2" t="s">
        <v>656</v>
      </c>
      <c r="B66" s="94" t="s">
        <v>609</v>
      </c>
      <c r="C66" s="95" t="s">
        <v>657</v>
      </c>
      <c r="D66" s="232" t="s">
        <v>26</v>
      </c>
      <c r="E66" s="95" t="s">
        <v>445</v>
      </c>
      <c r="F66" s="95" t="s">
        <v>406</v>
      </c>
      <c r="G66" s="101">
        <v>45713</v>
      </c>
      <c r="H66" s="52" t="s">
        <v>29</v>
      </c>
      <c r="I66" s="97"/>
      <c r="J66" s="97"/>
      <c r="K66" s="97"/>
      <c r="L66" s="97"/>
      <c r="M66" s="97"/>
      <c r="N66" s="131">
        <f t="shared" si="2"/>
        <v>0</v>
      </c>
      <c r="O66" s="98">
        <v>754</v>
      </c>
      <c r="P66" s="95" t="s">
        <v>489</v>
      </c>
      <c r="Q66" s="3" t="s">
        <v>689</v>
      </c>
      <c r="R66" s="1" t="s">
        <v>689</v>
      </c>
    </row>
    <row r="67" spans="1:18" ht="15.75" customHeight="1" x14ac:dyDescent="0.2">
      <c r="A67" s="2" t="s">
        <v>659</v>
      </c>
      <c r="B67" s="94" t="s">
        <v>610</v>
      </c>
      <c r="C67" s="134" t="s">
        <v>660</v>
      </c>
      <c r="D67" s="232" t="s">
        <v>26</v>
      </c>
      <c r="E67" s="95" t="s">
        <v>661</v>
      </c>
      <c r="F67" s="95" t="s">
        <v>406</v>
      </c>
      <c r="G67" s="101">
        <v>45715</v>
      </c>
      <c r="H67" s="52" t="s">
        <v>29</v>
      </c>
      <c r="I67" s="135"/>
      <c r="J67" s="135"/>
      <c r="K67" s="135"/>
      <c r="L67" s="135"/>
      <c r="M67" s="135"/>
      <c r="N67" s="131">
        <f t="shared" si="2"/>
        <v>0</v>
      </c>
      <c r="O67" s="98"/>
      <c r="P67" s="95" t="s">
        <v>429</v>
      </c>
      <c r="Q67" s="3" t="s">
        <v>689</v>
      </c>
      <c r="R67" s="1" t="s">
        <v>689</v>
      </c>
    </row>
    <row r="68" spans="1:18" ht="15.75" customHeight="1" x14ac:dyDescent="0.25">
      <c r="A68" s="88" t="s">
        <v>662</v>
      </c>
      <c r="B68" s="136" t="s">
        <v>611</v>
      </c>
      <c r="C68" s="137" t="s">
        <v>663</v>
      </c>
      <c r="D68" s="232" t="s">
        <v>26</v>
      </c>
      <c r="E68" s="138" t="s">
        <v>445</v>
      </c>
      <c r="F68" s="95" t="s">
        <v>406</v>
      </c>
      <c r="G68" s="101">
        <v>45714</v>
      </c>
      <c r="H68" s="52" t="s">
        <v>29</v>
      </c>
      <c r="I68" s="140"/>
      <c r="J68" s="140"/>
      <c r="K68" s="140"/>
      <c r="L68" s="140"/>
      <c r="M68" s="140"/>
      <c r="N68" s="131" t="e">
        <f>#REF!</f>
        <v>#REF!</v>
      </c>
      <c r="O68" s="98"/>
      <c r="P68" s="141" t="s">
        <v>489</v>
      </c>
      <c r="Q68" s="3" t="s">
        <v>689</v>
      </c>
      <c r="R68" s="1" t="s">
        <v>689</v>
      </c>
    </row>
    <row r="69" spans="1:18" ht="15.75" customHeight="1" x14ac:dyDescent="0.25">
      <c r="A69" s="89" t="s">
        <v>664</v>
      </c>
      <c r="B69" s="142" t="s">
        <v>612</v>
      </c>
      <c r="C69" s="137" t="s">
        <v>665</v>
      </c>
      <c r="D69" s="232" t="s">
        <v>26</v>
      </c>
      <c r="E69" s="138" t="s">
        <v>445</v>
      </c>
      <c r="F69" s="95" t="s">
        <v>406</v>
      </c>
      <c r="G69" s="101">
        <v>45714</v>
      </c>
      <c r="H69" s="95" t="s">
        <v>29</v>
      </c>
      <c r="I69" s="143"/>
      <c r="J69" s="143"/>
      <c r="K69" s="143"/>
      <c r="L69" s="143"/>
      <c r="M69" s="143"/>
      <c r="N69" s="131">
        <f t="shared" ref="N69:N74" si="3">SUM(I69:M69)</f>
        <v>0</v>
      </c>
      <c r="O69" s="98"/>
      <c r="P69" s="95" t="s">
        <v>414</v>
      </c>
      <c r="Q69" s="3" t="s">
        <v>689</v>
      </c>
      <c r="R69" s="1" t="s">
        <v>689</v>
      </c>
    </row>
    <row r="70" spans="1:18" ht="15.75" customHeight="1" x14ac:dyDescent="0.25">
      <c r="A70" s="48" t="s">
        <v>656</v>
      </c>
      <c r="B70" s="144" t="s">
        <v>613</v>
      </c>
      <c r="C70" s="137" t="s">
        <v>666</v>
      </c>
      <c r="D70" s="232" t="s">
        <v>26</v>
      </c>
      <c r="E70" s="138" t="s">
        <v>445</v>
      </c>
      <c r="F70" s="95" t="s">
        <v>406</v>
      </c>
      <c r="G70" s="101">
        <v>45715</v>
      </c>
      <c r="H70" s="95" t="s">
        <v>29</v>
      </c>
      <c r="I70" s="97"/>
      <c r="J70" s="97"/>
      <c r="K70" s="97"/>
      <c r="L70" s="97"/>
      <c r="M70" s="97"/>
      <c r="N70" s="131">
        <f t="shared" si="3"/>
        <v>0</v>
      </c>
      <c r="O70" s="98"/>
      <c r="P70" s="95" t="s">
        <v>414</v>
      </c>
      <c r="Q70" s="3"/>
      <c r="R70" s="1" t="s">
        <v>689</v>
      </c>
    </row>
    <row r="71" spans="1:18" ht="33.75" customHeight="1" x14ac:dyDescent="0.2">
      <c r="A71" s="50" t="s">
        <v>686</v>
      </c>
      <c r="B71" s="144" t="s">
        <v>614</v>
      </c>
      <c r="C71" s="155" t="s">
        <v>688</v>
      </c>
      <c r="D71" s="232" t="s">
        <v>26</v>
      </c>
      <c r="E71" s="99" t="s">
        <v>687</v>
      </c>
      <c r="F71" s="95" t="s">
        <v>406</v>
      </c>
      <c r="G71" s="101">
        <v>45715</v>
      </c>
      <c r="H71" s="95" t="s">
        <v>29</v>
      </c>
      <c r="I71" s="97"/>
      <c r="J71" s="97"/>
      <c r="K71" s="97"/>
      <c r="L71" s="97"/>
      <c r="M71" s="97"/>
      <c r="N71" s="131">
        <f t="shared" si="3"/>
        <v>0</v>
      </c>
      <c r="O71" s="156">
        <v>289</v>
      </c>
      <c r="P71" s="95" t="s">
        <v>425</v>
      </c>
      <c r="Q71" s="3" t="s">
        <v>689</v>
      </c>
      <c r="R71" s="154">
        <v>45730</v>
      </c>
    </row>
    <row r="72" spans="1:18" ht="18" customHeight="1" x14ac:dyDescent="0.2">
      <c r="A72" s="48" t="s">
        <v>691</v>
      </c>
      <c r="B72" s="144" t="s">
        <v>615</v>
      </c>
      <c r="C72" s="95" t="s">
        <v>690</v>
      </c>
      <c r="D72" s="232" t="s">
        <v>26</v>
      </c>
      <c r="E72" s="95" t="s">
        <v>445</v>
      </c>
      <c r="F72" s="95" t="s">
        <v>406</v>
      </c>
      <c r="G72" s="101">
        <v>45716</v>
      </c>
      <c r="H72" s="95" t="s">
        <v>29</v>
      </c>
      <c r="I72" s="97"/>
      <c r="J72" s="97"/>
      <c r="K72" s="97"/>
      <c r="L72" s="97"/>
      <c r="M72" s="97"/>
      <c r="N72" s="145">
        <f t="shared" si="3"/>
        <v>0</v>
      </c>
      <c r="O72" s="156">
        <v>262</v>
      </c>
      <c r="P72" s="95" t="s">
        <v>414</v>
      </c>
      <c r="Q72" s="3" t="s">
        <v>689</v>
      </c>
      <c r="R72" s="154" t="s">
        <v>809</v>
      </c>
    </row>
    <row r="73" spans="1:18" ht="15.75" customHeight="1" x14ac:dyDescent="0.2">
      <c r="A73" s="92" t="s">
        <v>699</v>
      </c>
      <c r="B73" s="144" t="s">
        <v>616</v>
      </c>
      <c r="C73" s="95" t="s">
        <v>698</v>
      </c>
      <c r="D73" s="232" t="s">
        <v>26</v>
      </c>
      <c r="E73" s="95" t="s">
        <v>445</v>
      </c>
      <c r="F73" s="95" t="s">
        <v>406</v>
      </c>
      <c r="G73" s="101">
        <v>45716</v>
      </c>
      <c r="H73" s="95" t="s">
        <v>29</v>
      </c>
      <c r="I73" s="97"/>
      <c r="J73" s="97"/>
      <c r="K73" s="97"/>
      <c r="L73" s="97"/>
      <c r="M73" s="97"/>
      <c r="N73" s="145">
        <f t="shared" si="3"/>
        <v>0</v>
      </c>
      <c r="O73" s="98"/>
      <c r="P73" s="95" t="s">
        <v>439</v>
      </c>
      <c r="Q73" s="3" t="s">
        <v>689</v>
      </c>
      <c r="R73" s="1" t="s">
        <v>689</v>
      </c>
    </row>
    <row r="74" spans="1:18" ht="32.25" customHeight="1" x14ac:dyDescent="0.2">
      <c r="A74" s="125" t="s">
        <v>700</v>
      </c>
      <c r="B74" s="94" t="s">
        <v>617</v>
      </c>
      <c r="C74" s="95" t="s">
        <v>701</v>
      </c>
      <c r="D74" s="232" t="s">
        <v>26</v>
      </c>
      <c r="E74" s="95" t="s">
        <v>702</v>
      </c>
      <c r="F74" s="95" t="s">
        <v>406</v>
      </c>
      <c r="G74" s="101">
        <v>45720</v>
      </c>
      <c r="H74" s="95" t="s">
        <v>29</v>
      </c>
      <c r="I74" s="97"/>
      <c r="J74" s="97"/>
      <c r="K74" s="97"/>
      <c r="L74" s="97"/>
      <c r="M74" s="97"/>
      <c r="N74" s="145">
        <f t="shared" si="3"/>
        <v>0</v>
      </c>
      <c r="O74" s="103">
        <v>303.7</v>
      </c>
      <c r="P74" s="95" t="s">
        <v>429</v>
      </c>
      <c r="Q74" s="3" t="s">
        <v>689</v>
      </c>
      <c r="R74" s="1" t="s">
        <v>689</v>
      </c>
    </row>
    <row r="75" spans="1:18" ht="15.75" customHeight="1" x14ac:dyDescent="0.2">
      <c r="A75" s="2" t="s">
        <v>703</v>
      </c>
      <c r="B75" s="94" t="s">
        <v>618</v>
      </c>
      <c r="C75" s="95" t="s">
        <v>704</v>
      </c>
      <c r="D75" s="232" t="s">
        <v>26</v>
      </c>
      <c r="E75" s="95" t="s">
        <v>445</v>
      </c>
      <c r="F75" s="95" t="s">
        <v>406</v>
      </c>
      <c r="G75" s="101">
        <v>45719</v>
      </c>
      <c r="H75" s="95" t="s">
        <v>29</v>
      </c>
      <c r="I75" s="97"/>
      <c r="J75" s="97"/>
      <c r="K75" s="97"/>
      <c r="L75" s="97"/>
      <c r="M75" s="97"/>
      <c r="N75" s="145">
        <v>500</v>
      </c>
      <c r="O75" s="98">
        <v>500</v>
      </c>
      <c r="P75" s="95" t="s">
        <v>414</v>
      </c>
      <c r="Q75" s="3" t="s">
        <v>689</v>
      </c>
      <c r="R75" s="154">
        <v>45730</v>
      </c>
    </row>
    <row r="76" spans="1:18" ht="15.75" customHeight="1" x14ac:dyDescent="0.2">
      <c r="A76" s="2" t="s">
        <v>703</v>
      </c>
      <c r="B76" s="94" t="s">
        <v>706</v>
      </c>
      <c r="C76" s="95" t="s">
        <v>705</v>
      </c>
      <c r="D76" s="232" t="s">
        <v>26</v>
      </c>
      <c r="E76" s="95" t="s">
        <v>445</v>
      </c>
      <c r="F76" s="95" t="s">
        <v>406</v>
      </c>
      <c r="G76" s="101">
        <v>45719</v>
      </c>
      <c r="H76" s="95" t="s">
        <v>29</v>
      </c>
      <c r="I76" s="97"/>
      <c r="J76" s="97"/>
      <c r="K76" s="97"/>
      <c r="L76" s="97"/>
      <c r="M76" s="97"/>
      <c r="N76" s="145">
        <v>500</v>
      </c>
      <c r="O76" s="98">
        <v>391</v>
      </c>
      <c r="P76" s="95" t="s">
        <v>425</v>
      </c>
      <c r="Q76" s="3" t="s">
        <v>689</v>
      </c>
      <c r="R76" s="1"/>
    </row>
    <row r="77" spans="1:18" ht="32.25" customHeight="1" x14ac:dyDescent="0.2">
      <c r="A77" s="2" t="s">
        <v>506</v>
      </c>
      <c r="B77" s="94" t="s">
        <v>707</v>
      </c>
      <c r="C77" s="95" t="s">
        <v>570</v>
      </c>
      <c r="D77" s="232" t="s">
        <v>26</v>
      </c>
      <c r="E77" s="95" t="s">
        <v>710</v>
      </c>
      <c r="F77" s="95" t="s">
        <v>461</v>
      </c>
      <c r="G77" s="99" t="s">
        <v>711</v>
      </c>
      <c r="H77" s="95" t="s">
        <v>29</v>
      </c>
      <c r="I77" s="97"/>
      <c r="J77" s="97"/>
      <c r="K77" s="97"/>
      <c r="L77" s="97"/>
      <c r="M77" s="97"/>
      <c r="N77" s="145" t="e">
        <f>#REF!</f>
        <v>#REF!</v>
      </c>
      <c r="O77" s="98">
        <v>217</v>
      </c>
      <c r="P77" s="95" t="s">
        <v>456</v>
      </c>
      <c r="Q77" s="3" t="s">
        <v>689</v>
      </c>
      <c r="R77" s="1" t="s">
        <v>689</v>
      </c>
    </row>
    <row r="78" spans="1:18" ht="21.75" customHeight="1" x14ac:dyDescent="0.2">
      <c r="A78" s="2" t="s">
        <v>713</v>
      </c>
      <c r="B78" s="94" t="s">
        <v>708</v>
      </c>
      <c r="C78" s="95" t="s">
        <v>712</v>
      </c>
      <c r="D78" s="232" t="s">
        <v>26</v>
      </c>
      <c r="E78" s="95" t="s">
        <v>445</v>
      </c>
      <c r="F78" s="95" t="s">
        <v>406</v>
      </c>
      <c r="G78" s="101">
        <v>45720</v>
      </c>
      <c r="H78" s="95" t="s">
        <v>31</v>
      </c>
      <c r="I78" s="97"/>
      <c r="J78" s="97">
        <v>36</v>
      </c>
      <c r="K78" s="97">
        <v>234</v>
      </c>
      <c r="L78" s="97">
        <v>70</v>
      </c>
      <c r="M78" s="97">
        <v>40</v>
      </c>
      <c r="N78" s="145">
        <v>450</v>
      </c>
      <c r="O78" s="98">
        <v>359</v>
      </c>
      <c r="P78" s="95" t="s">
        <v>425</v>
      </c>
      <c r="Q78" s="3" t="s">
        <v>689</v>
      </c>
      <c r="R78" s="1"/>
    </row>
    <row r="79" spans="1:18" ht="26.25" customHeight="1" x14ac:dyDescent="0.2">
      <c r="A79" s="2" t="s">
        <v>601</v>
      </c>
      <c r="B79" s="94" t="s">
        <v>709</v>
      </c>
      <c r="C79" s="95" t="s">
        <v>715</v>
      </c>
      <c r="D79" s="232" t="s">
        <v>26</v>
      </c>
      <c r="E79" s="95" t="s">
        <v>445</v>
      </c>
      <c r="F79" s="95" t="s">
        <v>406</v>
      </c>
      <c r="G79" s="101">
        <v>45721</v>
      </c>
      <c r="H79" s="95" t="s">
        <v>31</v>
      </c>
      <c r="I79" s="97"/>
      <c r="J79" s="97">
        <v>36</v>
      </c>
      <c r="K79" s="97">
        <v>234</v>
      </c>
      <c r="L79" s="97">
        <v>70</v>
      </c>
      <c r="M79" s="97">
        <v>40</v>
      </c>
      <c r="N79" s="145">
        <f>SUM(I79:M79)</f>
        <v>380</v>
      </c>
      <c r="O79" s="98">
        <v>450</v>
      </c>
      <c r="P79" s="95" t="s">
        <v>414</v>
      </c>
      <c r="Q79" s="3" t="s">
        <v>689</v>
      </c>
      <c r="R79" s="154">
        <v>45730</v>
      </c>
    </row>
    <row r="80" spans="1:18" ht="35.25" customHeight="1" x14ac:dyDescent="0.2">
      <c r="A80" s="127" t="s">
        <v>531</v>
      </c>
      <c r="B80" s="94" t="s">
        <v>714</v>
      </c>
      <c r="C80" s="95" t="s">
        <v>716</v>
      </c>
      <c r="D80" s="232" t="s">
        <v>26</v>
      </c>
      <c r="E80" s="95" t="s">
        <v>445</v>
      </c>
      <c r="F80" s="95" t="s">
        <v>406</v>
      </c>
      <c r="G80" s="101">
        <v>45721</v>
      </c>
      <c r="H80" s="95" t="s">
        <v>31</v>
      </c>
      <c r="I80" s="97">
        <v>50</v>
      </c>
      <c r="J80" s="97"/>
      <c r="K80" s="97" t="s">
        <v>407</v>
      </c>
      <c r="L80" s="97">
        <v>40</v>
      </c>
      <c r="M80" s="97">
        <v>160</v>
      </c>
      <c r="N80" s="145">
        <f>SUM(I80:M80)</f>
        <v>250</v>
      </c>
      <c r="O80" s="103">
        <v>118</v>
      </c>
      <c r="P80" s="95" t="s">
        <v>425</v>
      </c>
      <c r="Q80" s="3" t="s">
        <v>689</v>
      </c>
      <c r="R80" s="1"/>
    </row>
    <row r="81" spans="1:18" ht="15.75" customHeight="1" x14ac:dyDescent="0.2">
      <c r="A81" s="2" t="s">
        <v>462</v>
      </c>
      <c r="B81" s="94" t="s">
        <v>718</v>
      </c>
      <c r="C81" s="95" t="s">
        <v>717</v>
      </c>
      <c r="D81" s="232" t="s">
        <v>26</v>
      </c>
      <c r="E81" s="95" t="s">
        <v>458</v>
      </c>
      <c r="F81" s="95" t="s">
        <v>406</v>
      </c>
      <c r="G81" s="101">
        <v>45722</v>
      </c>
      <c r="H81" s="95" t="s">
        <v>31</v>
      </c>
      <c r="I81" s="97">
        <v>200</v>
      </c>
      <c r="J81" s="97">
        <v>50</v>
      </c>
      <c r="K81" s="97">
        <v>50</v>
      </c>
      <c r="L81" s="97">
        <v>50</v>
      </c>
      <c r="M81" s="97"/>
      <c r="N81" s="145">
        <f>SUM(I81:M81)</f>
        <v>350</v>
      </c>
      <c r="O81" s="98">
        <v>303</v>
      </c>
      <c r="P81" s="95" t="s">
        <v>632</v>
      </c>
      <c r="Q81" s="3" t="s">
        <v>689</v>
      </c>
      <c r="R81" s="154">
        <v>45730</v>
      </c>
    </row>
    <row r="82" spans="1:18" ht="15.75" customHeight="1" x14ac:dyDescent="0.2">
      <c r="A82" s="2" t="s">
        <v>720</v>
      </c>
      <c r="B82" s="94" t="s">
        <v>721</v>
      </c>
      <c r="C82" s="95" t="s">
        <v>719</v>
      </c>
      <c r="D82" s="232" t="s">
        <v>26</v>
      </c>
      <c r="E82" s="95" t="s">
        <v>445</v>
      </c>
      <c r="F82" s="95" t="s">
        <v>406</v>
      </c>
      <c r="G82" s="101">
        <v>45722</v>
      </c>
      <c r="H82" s="95" t="s">
        <v>31</v>
      </c>
      <c r="I82" s="97"/>
      <c r="J82" s="97">
        <v>50</v>
      </c>
      <c r="K82" s="97"/>
      <c r="L82" s="97">
        <v>50</v>
      </c>
      <c r="M82" s="97">
        <v>150</v>
      </c>
      <c r="N82" s="145">
        <f>SUM(I82:M82)</f>
        <v>250</v>
      </c>
      <c r="O82" s="98">
        <v>215</v>
      </c>
      <c r="P82" s="95" t="s">
        <v>425</v>
      </c>
      <c r="Q82" s="3" t="s">
        <v>689</v>
      </c>
      <c r="R82" s="1"/>
    </row>
    <row r="83" spans="1:18" ht="15.75" customHeight="1" x14ac:dyDescent="0.2">
      <c r="A83" s="2" t="s">
        <v>725</v>
      </c>
      <c r="B83" s="94" t="s">
        <v>722</v>
      </c>
      <c r="C83" s="95" t="s">
        <v>724</v>
      </c>
      <c r="D83" s="232" t="s">
        <v>26</v>
      </c>
      <c r="E83" s="95" t="s">
        <v>445</v>
      </c>
      <c r="F83" s="95" t="s">
        <v>406</v>
      </c>
      <c r="G83" s="101">
        <v>45722</v>
      </c>
      <c r="H83" s="95" t="s">
        <v>31</v>
      </c>
      <c r="I83" s="97"/>
      <c r="J83" s="97">
        <v>50</v>
      </c>
      <c r="K83" s="97">
        <v>230</v>
      </c>
      <c r="L83" s="97">
        <v>100</v>
      </c>
      <c r="M83" s="97">
        <v>70</v>
      </c>
      <c r="N83" s="145">
        <f>SUM(J83:M83)</f>
        <v>450</v>
      </c>
      <c r="O83" s="98">
        <v>450</v>
      </c>
      <c r="P83" s="95" t="s">
        <v>414</v>
      </c>
      <c r="Q83" s="3" t="s">
        <v>689</v>
      </c>
      <c r="R83" s="1"/>
    </row>
    <row r="84" spans="1:18" ht="33.75" customHeight="1" x14ac:dyDescent="0.2">
      <c r="A84" s="57" t="s">
        <v>728</v>
      </c>
      <c r="B84" s="94" t="s">
        <v>723</v>
      </c>
      <c r="C84" s="95" t="s">
        <v>726</v>
      </c>
      <c r="D84" s="3" t="s">
        <v>1356</v>
      </c>
      <c r="E84" s="95" t="s">
        <v>710</v>
      </c>
      <c r="F84" s="95" t="s">
        <v>406</v>
      </c>
      <c r="G84" s="99" t="s">
        <v>727</v>
      </c>
      <c r="H84" s="95" t="s">
        <v>31</v>
      </c>
      <c r="I84" s="97"/>
      <c r="J84" s="97">
        <v>29</v>
      </c>
      <c r="K84" s="97"/>
      <c r="L84" s="97">
        <v>30</v>
      </c>
      <c r="M84" s="97"/>
      <c r="N84" s="145">
        <f>SUM(I84:M84)</f>
        <v>59</v>
      </c>
      <c r="O84" s="98">
        <v>199</v>
      </c>
      <c r="P84" s="95" t="s">
        <v>520</v>
      </c>
      <c r="Q84" s="3" t="s">
        <v>689</v>
      </c>
      <c r="R84" s="1" t="s">
        <v>689</v>
      </c>
    </row>
    <row r="85" spans="1:18" ht="31.5" customHeight="1" x14ac:dyDescent="0.2">
      <c r="A85" s="57" t="s">
        <v>734</v>
      </c>
      <c r="B85" s="94" t="s">
        <v>730</v>
      </c>
      <c r="C85" s="95" t="s">
        <v>729</v>
      </c>
      <c r="D85" s="232" t="s">
        <v>26</v>
      </c>
      <c r="E85" s="95" t="s">
        <v>413</v>
      </c>
      <c r="F85" s="95" t="s">
        <v>406</v>
      </c>
      <c r="G85" s="146" t="s">
        <v>735</v>
      </c>
      <c r="H85" s="95" t="s">
        <v>31</v>
      </c>
      <c r="I85" s="97"/>
      <c r="J85" s="97"/>
      <c r="K85" s="97"/>
      <c r="L85" s="97">
        <v>242</v>
      </c>
      <c r="M85" s="97"/>
      <c r="N85" s="145">
        <f>SUM(L85:M85)</f>
        <v>242</v>
      </c>
      <c r="O85" s="98">
        <v>382</v>
      </c>
      <c r="P85" s="95" t="s">
        <v>414</v>
      </c>
      <c r="Q85" s="3" t="s">
        <v>689</v>
      </c>
      <c r="R85" s="1" t="s">
        <v>689</v>
      </c>
    </row>
    <row r="86" spans="1:18" ht="15.75" customHeight="1" x14ac:dyDescent="0.2">
      <c r="A86" s="2" t="s">
        <v>737</v>
      </c>
      <c r="B86" s="94" t="s">
        <v>731</v>
      </c>
      <c r="C86" s="95" t="s">
        <v>738</v>
      </c>
      <c r="D86" s="232" t="s">
        <v>26</v>
      </c>
      <c r="E86" s="95" t="s">
        <v>661</v>
      </c>
      <c r="F86" s="95" t="s">
        <v>406</v>
      </c>
      <c r="G86" s="101">
        <v>45723</v>
      </c>
      <c r="H86" s="95" t="s">
        <v>31</v>
      </c>
      <c r="I86" s="97"/>
      <c r="J86" s="97"/>
      <c r="K86" s="97">
        <v>100</v>
      </c>
      <c r="L86" s="97">
        <v>50</v>
      </c>
      <c r="M86" s="97"/>
      <c r="N86" s="145">
        <f>SUM(K86:L86)</f>
        <v>150</v>
      </c>
      <c r="O86" s="98">
        <v>100</v>
      </c>
      <c r="P86" s="95" t="s">
        <v>520</v>
      </c>
      <c r="Q86" s="3" t="s">
        <v>689</v>
      </c>
      <c r="R86" s="154">
        <v>45727</v>
      </c>
    </row>
    <row r="87" spans="1:18" ht="15.75" customHeight="1" x14ac:dyDescent="0.2">
      <c r="A87" s="2" t="s">
        <v>741</v>
      </c>
      <c r="B87" s="94" t="s">
        <v>732</v>
      </c>
      <c r="C87" s="95" t="s">
        <v>739</v>
      </c>
      <c r="D87" s="232" t="s">
        <v>26</v>
      </c>
      <c r="E87" s="95" t="s">
        <v>445</v>
      </c>
      <c r="F87" s="95" t="s">
        <v>406</v>
      </c>
      <c r="G87" s="101">
        <v>45723</v>
      </c>
      <c r="H87" s="95" t="s">
        <v>31</v>
      </c>
      <c r="I87" s="97"/>
      <c r="J87" s="97">
        <v>50</v>
      </c>
      <c r="K87" s="97">
        <v>230</v>
      </c>
      <c r="L87" s="97">
        <v>100</v>
      </c>
      <c r="M87" s="97">
        <v>70</v>
      </c>
      <c r="N87" s="145">
        <f>SUM(J87:M87)</f>
        <v>450</v>
      </c>
      <c r="O87" s="98">
        <v>317</v>
      </c>
      <c r="P87" s="95" t="s">
        <v>414</v>
      </c>
      <c r="Q87" s="3" t="s">
        <v>689</v>
      </c>
      <c r="R87" s="1"/>
    </row>
    <row r="88" spans="1:18" ht="15.75" customHeight="1" x14ac:dyDescent="0.2">
      <c r="A88" s="2" t="s">
        <v>742</v>
      </c>
      <c r="B88" s="94" t="s">
        <v>733</v>
      </c>
      <c r="C88" s="95" t="s">
        <v>740</v>
      </c>
      <c r="D88" s="232" t="s">
        <v>26</v>
      </c>
      <c r="E88" s="95" t="s">
        <v>445</v>
      </c>
      <c r="F88" s="95" t="s">
        <v>406</v>
      </c>
      <c r="G88" s="101">
        <v>45723</v>
      </c>
      <c r="H88" s="95" t="s">
        <v>31</v>
      </c>
      <c r="I88" s="97"/>
      <c r="J88" s="97">
        <v>50</v>
      </c>
      <c r="K88" s="97"/>
      <c r="L88" s="97">
        <v>100</v>
      </c>
      <c r="M88" s="97">
        <v>150</v>
      </c>
      <c r="N88" s="145">
        <f>SUM(J88:M88)</f>
        <v>300</v>
      </c>
      <c r="O88" s="103">
        <v>337.5</v>
      </c>
      <c r="P88" s="95" t="s">
        <v>425</v>
      </c>
      <c r="Q88" s="3" t="s">
        <v>689</v>
      </c>
      <c r="R88" s="204">
        <f>O88-N88</f>
        <v>37.5</v>
      </c>
    </row>
    <row r="89" spans="1:18" ht="15.75" customHeight="1" x14ac:dyDescent="0.2">
      <c r="A89" s="2" t="s">
        <v>745</v>
      </c>
      <c r="B89" s="94" t="s">
        <v>746</v>
      </c>
      <c r="C89" s="95" t="s">
        <v>743</v>
      </c>
      <c r="D89" s="232" t="s">
        <v>26</v>
      </c>
      <c r="E89" s="95" t="s">
        <v>744</v>
      </c>
      <c r="F89" s="95" t="s">
        <v>406</v>
      </c>
      <c r="G89" s="101">
        <v>45724</v>
      </c>
      <c r="H89" s="95" t="s">
        <v>31</v>
      </c>
      <c r="I89" s="97"/>
      <c r="J89" s="97">
        <v>50</v>
      </c>
      <c r="K89" s="97"/>
      <c r="L89" s="97">
        <v>50</v>
      </c>
      <c r="M89" s="97">
        <v>70</v>
      </c>
      <c r="N89" s="145">
        <f>SUM(J89:M89)</f>
        <v>170</v>
      </c>
      <c r="O89" s="98">
        <v>157</v>
      </c>
      <c r="P89" s="95" t="s">
        <v>520</v>
      </c>
      <c r="Q89" s="3" t="s">
        <v>689</v>
      </c>
      <c r="R89" s="1"/>
    </row>
    <row r="90" spans="1:18" ht="15.75" customHeight="1" x14ac:dyDescent="0.2">
      <c r="A90" s="2" t="s">
        <v>691</v>
      </c>
      <c r="B90" s="94" t="s">
        <v>747</v>
      </c>
      <c r="C90" s="95" t="s">
        <v>750</v>
      </c>
      <c r="D90" s="232" t="s">
        <v>26</v>
      </c>
      <c r="E90" s="95" t="s">
        <v>445</v>
      </c>
      <c r="F90" s="95" t="s">
        <v>406</v>
      </c>
      <c r="G90" s="101">
        <v>45726</v>
      </c>
      <c r="H90" s="95" t="s">
        <v>31</v>
      </c>
      <c r="I90" s="97">
        <v>200</v>
      </c>
      <c r="J90" s="97">
        <v>50</v>
      </c>
      <c r="K90" s="97"/>
      <c r="L90" s="97">
        <v>100</v>
      </c>
      <c r="M90" s="97">
        <v>100</v>
      </c>
      <c r="N90" s="145">
        <f>SUM(I90:M90)</f>
        <v>450</v>
      </c>
      <c r="O90" s="98">
        <v>0</v>
      </c>
      <c r="P90" s="95" t="s">
        <v>489</v>
      </c>
      <c r="Q90" s="3" t="s">
        <v>689</v>
      </c>
      <c r="R90" s="154">
        <v>45727</v>
      </c>
    </row>
    <row r="91" spans="1:18" ht="15.75" customHeight="1" x14ac:dyDescent="0.2">
      <c r="A91" s="2" t="s">
        <v>691</v>
      </c>
      <c r="B91" s="94" t="s">
        <v>748</v>
      </c>
      <c r="C91" s="95" t="s">
        <v>751</v>
      </c>
      <c r="D91" s="232" t="s">
        <v>26</v>
      </c>
      <c r="E91" s="95" t="s">
        <v>445</v>
      </c>
      <c r="F91" s="95" t="s">
        <v>406</v>
      </c>
      <c r="G91" s="101">
        <v>45726</v>
      </c>
      <c r="H91" s="95" t="s">
        <v>31</v>
      </c>
      <c r="I91" s="97"/>
      <c r="J91" s="97">
        <v>50</v>
      </c>
      <c r="K91" s="97">
        <v>230</v>
      </c>
      <c r="L91" s="97">
        <v>100</v>
      </c>
      <c r="M91" s="97">
        <v>70</v>
      </c>
      <c r="N91" s="145">
        <f>SUM(I91:M91)</f>
        <v>450</v>
      </c>
      <c r="O91" s="103">
        <v>484</v>
      </c>
      <c r="P91" s="95" t="s">
        <v>749</v>
      </c>
      <c r="Q91" s="3" t="s">
        <v>689</v>
      </c>
      <c r="R91" s="1"/>
    </row>
    <row r="92" spans="1:18" ht="15.75" customHeight="1" x14ac:dyDescent="0.2">
      <c r="A92" s="2" t="s">
        <v>752</v>
      </c>
      <c r="B92" s="94" t="s">
        <v>753</v>
      </c>
      <c r="C92" s="95" t="s">
        <v>757</v>
      </c>
      <c r="D92" s="232" t="s">
        <v>26</v>
      </c>
      <c r="E92" s="95" t="s">
        <v>413</v>
      </c>
      <c r="F92" s="95" t="s">
        <v>406</v>
      </c>
      <c r="G92" s="101">
        <v>45722</v>
      </c>
      <c r="H92" s="95" t="s">
        <v>31</v>
      </c>
      <c r="I92" s="97"/>
      <c r="J92" s="97"/>
      <c r="K92" s="97"/>
      <c r="L92" s="97">
        <v>112</v>
      </c>
      <c r="M92" s="97">
        <v>140</v>
      </c>
      <c r="N92" s="145">
        <f>SUM(L92:M92)</f>
        <v>252</v>
      </c>
      <c r="O92" s="98">
        <v>252</v>
      </c>
      <c r="P92" s="95" t="s">
        <v>749</v>
      </c>
      <c r="Q92" s="3" t="s">
        <v>689</v>
      </c>
      <c r="R92" s="154">
        <v>45730</v>
      </c>
    </row>
    <row r="93" spans="1:18" ht="32.25" customHeight="1" x14ac:dyDescent="0.2">
      <c r="A93" s="57" t="s">
        <v>418</v>
      </c>
      <c r="B93" s="94" t="s">
        <v>754</v>
      </c>
      <c r="C93" s="99" t="s">
        <v>758</v>
      </c>
      <c r="D93" s="232" t="s">
        <v>26</v>
      </c>
      <c r="E93" s="95" t="s">
        <v>413</v>
      </c>
      <c r="F93" s="95" t="s">
        <v>406</v>
      </c>
      <c r="G93" s="146" t="s">
        <v>759</v>
      </c>
      <c r="H93" s="95" t="s">
        <v>31</v>
      </c>
      <c r="I93" s="97"/>
      <c r="J93" s="97"/>
      <c r="K93" s="97"/>
      <c r="L93" s="97">
        <v>311</v>
      </c>
      <c r="M93" s="97">
        <v>210</v>
      </c>
      <c r="N93" s="145">
        <f t="shared" ref="N93:N112" si="4">SUM(I93:M93)</f>
        <v>521</v>
      </c>
      <c r="O93" s="98">
        <v>521</v>
      </c>
      <c r="P93" s="95" t="s">
        <v>749</v>
      </c>
      <c r="Q93" s="3" t="s">
        <v>689</v>
      </c>
      <c r="R93" s="154">
        <v>45730</v>
      </c>
    </row>
    <row r="94" spans="1:18" ht="30.75" customHeight="1" x14ac:dyDescent="0.2">
      <c r="A94" s="57" t="s">
        <v>418</v>
      </c>
      <c r="B94" s="94" t="s">
        <v>755</v>
      </c>
      <c r="C94" s="95" t="s">
        <v>597</v>
      </c>
      <c r="D94" s="232" t="s">
        <v>26</v>
      </c>
      <c r="E94" s="95" t="s">
        <v>413</v>
      </c>
      <c r="F94" s="95" t="s">
        <v>461</v>
      </c>
      <c r="G94" s="101">
        <v>45721</v>
      </c>
      <c r="H94" s="95" t="s">
        <v>31</v>
      </c>
      <c r="I94" s="97"/>
      <c r="J94" s="97"/>
      <c r="K94" s="97"/>
      <c r="L94" s="97">
        <v>123</v>
      </c>
      <c r="M94" s="97">
        <v>70</v>
      </c>
      <c r="N94" s="145">
        <f t="shared" si="4"/>
        <v>193</v>
      </c>
      <c r="O94" s="98">
        <v>193</v>
      </c>
      <c r="P94" s="95" t="s">
        <v>466</v>
      </c>
      <c r="Q94" s="3" t="s">
        <v>689</v>
      </c>
      <c r="R94" s="154">
        <v>45730</v>
      </c>
    </row>
    <row r="95" spans="1:18" ht="78" customHeight="1" x14ac:dyDescent="0.2">
      <c r="A95" s="57" t="s">
        <v>772</v>
      </c>
      <c r="B95" s="94" t="s">
        <v>756</v>
      </c>
      <c r="C95" s="99" t="s">
        <v>770</v>
      </c>
      <c r="D95" s="77" t="s">
        <v>1356</v>
      </c>
      <c r="E95" s="95" t="s">
        <v>436</v>
      </c>
      <c r="F95" s="95" t="s">
        <v>406</v>
      </c>
      <c r="G95" s="99" t="s">
        <v>771</v>
      </c>
      <c r="H95" s="95" t="s">
        <v>31</v>
      </c>
      <c r="I95" s="97">
        <v>66</v>
      </c>
      <c r="J95" s="97"/>
      <c r="K95" s="97"/>
      <c r="L95" s="97">
        <v>89</v>
      </c>
      <c r="M95" s="97"/>
      <c r="N95" s="145">
        <f t="shared" si="4"/>
        <v>155</v>
      </c>
      <c r="O95" s="98">
        <v>155</v>
      </c>
      <c r="P95" s="95" t="s">
        <v>632</v>
      </c>
      <c r="Q95" s="79">
        <v>45728</v>
      </c>
      <c r="R95" s="154">
        <v>45730</v>
      </c>
    </row>
    <row r="96" spans="1:18" ht="63" customHeight="1" x14ac:dyDescent="0.2">
      <c r="A96" s="57" t="s">
        <v>774</v>
      </c>
      <c r="B96" s="94" t="s">
        <v>764</v>
      </c>
      <c r="C96" s="99" t="s">
        <v>773</v>
      </c>
      <c r="D96" s="232" t="s">
        <v>26</v>
      </c>
      <c r="E96" s="95" t="s">
        <v>436</v>
      </c>
      <c r="F96" s="95" t="s">
        <v>406</v>
      </c>
      <c r="G96" s="99" t="s">
        <v>775</v>
      </c>
      <c r="H96" s="95" t="s">
        <v>31</v>
      </c>
      <c r="I96" s="97">
        <v>155</v>
      </c>
      <c r="J96" s="97"/>
      <c r="K96" s="97"/>
      <c r="L96" s="97">
        <v>75</v>
      </c>
      <c r="M96" s="97"/>
      <c r="N96" s="145">
        <f t="shared" si="4"/>
        <v>230</v>
      </c>
      <c r="O96" s="98">
        <v>230</v>
      </c>
      <c r="P96" s="95" t="s">
        <v>489</v>
      </c>
      <c r="Q96" s="79">
        <v>45728</v>
      </c>
      <c r="R96" s="154">
        <v>45730</v>
      </c>
    </row>
    <row r="97" spans="1:18" ht="15.75" customHeight="1" x14ac:dyDescent="0.2">
      <c r="A97" s="2" t="s">
        <v>713</v>
      </c>
      <c r="B97" s="94" t="s">
        <v>765</v>
      </c>
      <c r="C97" s="95" t="s">
        <v>776</v>
      </c>
      <c r="D97" s="232" t="s">
        <v>26</v>
      </c>
      <c r="E97" s="95" t="s">
        <v>445</v>
      </c>
      <c r="F97" s="95" t="s">
        <v>406</v>
      </c>
      <c r="G97" s="101">
        <v>45728</v>
      </c>
      <c r="H97" s="95" t="s">
        <v>31</v>
      </c>
      <c r="I97" s="97">
        <v>200</v>
      </c>
      <c r="J97" s="97">
        <v>50</v>
      </c>
      <c r="K97" s="97"/>
      <c r="L97" s="97">
        <v>100</v>
      </c>
      <c r="M97" s="97">
        <v>100</v>
      </c>
      <c r="N97" s="145">
        <f t="shared" si="4"/>
        <v>450</v>
      </c>
      <c r="O97" s="98">
        <v>387</v>
      </c>
      <c r="P97" s="95" t="s">
        <v>489</v>
      </c>
      <c r="Q97" s="79">
        <v>45729</v>
      </c>
      <c r="R97" s="1"/>
    </row>
    <row r="98" spans="1:18" ht="15.75" customHeight="1" x14ac:dyDescent="0.2">
      <c r="A98" s="2" t="s">
        <v>713</v>
      </c>
      <c r="B98" s="94" t="s">
        <v>766</v>
      </c>
      <c r="C98" s="95" t="s">
        <v>777</v>
      </c>
      <c r="D98" s="232" t="s">
        <v>26</v>
      </c>
      <c r="E98" s="95" t="s">
        <v>445</v>
      </c>
      <c r="F98" s="95" t="s">
        <v>406</v>
      </c>
      <c r="G98" s="101">
        <v>45728</v>
      </c>
      <c r="H98" s="95" t="s">
        <v>31</v>
      </c>
      <c r="I98" s="97"/>
      <c r="J98" s="97">
        <v>50</v>
      </c>
      <c r="K98" s="97">
        <v>230</v>
      </c>
      <c r="L98" s="97">
        <v>100</v>
      </c>
      <c r="M98" s="97"/>
      <c r="N98" s="145">
        <f t="shared" si="4"/>
        <v>380</v>
      </c>
      <c r="O98" s="98">
        <v>450</v>
      </c>
      <c r="P98" s="95" t="s">
        <v>414</v>
      </c>
      <c r="Q98" s="79">
        <v>45729</v>
      </c>
      <c r="R98" s="1"/>
    </row>
    <row r="99" spans="1:18" ht="78.75" customHeight="1" x14ac:dyDescent="0.2">
      <c r="A99" s="57" t="s">
        <v>779</v>
      </c>
      <c r="B99" s="94" t="s">
        <v>767</v>
      </c>
      <c r="C99" s="99" t="s">
        <v>780</v>
      </c>
      <c r="D99" s="77" t="s">
        <v>1356</v>
      </c>
      <c r="E99" s="95" t="s">
        <v>436</v>
      </c>
      <c r="F99" s="95" t="s">
        <v>406</v>
      </c>
      <c r="G99" s="146" t="s">
        <v>781</v>
      </c>
      <c r="H99" s="95" t="s">
        <v>31</v>
      </c>
      <c r="I99" s="97"/>
      <c r="J99" s="97">
        <v>109.5</v>
      </c>
      <c r="K99" s="97"/>
      <c r="L99" s="97">
        <v>68</v>
      </c>
      <c r="M99" s="97"/>
      <c r="N99" s="145">
        <f t="shared" si="4"/>
        <v>177.5</v>
      </c>
      <c r="O99" s="98">
        <v>191.6</v>
      </c>
      <c r="P99" s="95" t="s">
        <v>429</v>
      </c>
      <c r="Q99" s="79">
        <v>45729</v>
      </c>
      <c r="R99" s="1"/>
    </row>
    <row r="100" spans="1:18" ht="63" customHeight="1" x14ac:dyDescent="0.2">
      <c r="A100" s="57" t="s">
        <v>782</v>
      </c>
      <c r="B100" s="94" t="s">
        <v>768</v>
      </c>
      <c r="C100" s="99" t="s">
        <v>783</v>
      </c>
      <c r="D100" s="232" t="s">
        <v>26</v>
      </c>
      <c r="E100" s="95" t="s">
        <v>436</v>
      </c>
      <c r="F100" s="95" t="s">
        <v>406</v>
      </c>
      <c r="G100" s="146" t="s">
        <v>784</v>
      </c>
      <c r="H100" s="95" t="s">
        <v>31</v>
      </c>
      <c r="I100" s="97"/>
      <c r="J100" s="97">
        <v>268</v>
      </c>
      <c r="K100" s="97"/>
      <c r="L100" s="97">
        <v>45</v>
      </c>
      <c r="M100" s="97"/>
      <c r="N100" s="145">
        <f t="shared" si="4"/>
        <v>313</v>
      </c>
      <c r="O100" s="98">
        <v>313</v>
      </c>
      <c r="P100" s="95" t="s">
        <v>489</v>
      </c>
      <c r="Q100" s="79">
        <v>45729</v>
      </c>
      <c r="R100" s="1"/>
    </row>
    <row r="101" spans="1:18" ht="15.75" customHeight="1" x14ac:dyDescent="0.2">
      <c r="A101" s="57" t="s">
        <v>785</v>
      </c>
      <c r="B101" s="94" t="s">
        <v>769</v>
      </c>
      <c r="C101" s="99" t="s">
        <v>786</v>
      </c>
      <c r="D101" s="232" t="s">
        <v>26</v>
      </c>
      <c r="E101" s="95" t="s">
        <v>445</v>
      </c>
      <c r="F101" s="95" t="s">
        <v>406</v>
      </c>
      <c r="G101" s="101">
        <v>45729</v>
      </c>
      <c r="H101" s="95" t="s">
        <v>31</v>
      </c>
      <c r="I101" s="97"/>
      <c r="J101" s="97">
        <v>50</v>
      </c>
      <c r="K101" s="97">
        <v>230</v>
      </c>
      <c r="L101" s="97">
        <v>100</v>
      </c>
      <c r="M101" s="97"/>
      <c r="N101" s="145">
        <f t="shared" si="4"/>
        <v>380</v>
      </c>
      <c r="O101" s="98">
        <v>450</v>
      </c>
      <c r="P101" s="95" t="s">
        <v>414</v>
      </c>
      <c r="Q101" s="79">
        <v>45730</v>
      </c>
      <c r="R101" s="1"/>
    </row>
    <row r="102" spans="1:18" ht="15.75" customHeight="1" x14ac:dyDescent="0.2">
      <c r="A102" s="57" t="s">
        <v>787</v>
      </c>
      <c r="B102" s="94" t="s">
        <v>788</v>
      </c>
      <c r="C102" s="99" t="s">
        <v>797</v>
      </c>
      <c r="D102" s="232" t="s">
        <v>26</v>
      </c>
      <c r="E102" s="95" t="s">
        <v>445</v>
      </c>
      <c r="F102" s="95" t="s">
        <v>406</v>
      </c>
      <c r="G102" s="101">
        <v>45729</v>
      </c>
      <c r="H102" s="95" t="s">
        <v>31</v>
      </c>
      <c r="I102" s="97">
        <v>200</v>
      </c>
      <c r="J102" s="97">
        <v>50</v>
      </c>
      <c r="K102" s="97"/>
      <c r="L102" s="97">
        <v>100</v>
      </c>
      <c r="M102" s="97">
        <v>100</v>
      </c>
      <c r="N102" s="145">
        <f t="shared" si="4"/>
        <v>450</v>
      </c>
      <c r="O102" s="98">
        <v>293</v>
      </c>
      <c r="P102" s="95" t="s">
        <v>489</v>
      </c>
      <c r="Q102" s="79">
        <v>45730</v>
      </c>
      <c r="R102" s="1"/>
    </row>
    <row r="103" spans="1:18" ht="46.5" customHeight="1" x14ac:dyDescent="0.25">
      <c r="A103" s="88" t="s">
        <v>800</v>
      </c>
      <c r="B103" s="94" t="s">
        <v>789</v>
      </c>
      <c r="C103" s="99" t="s">
        <v>801</v>
      </c>
      <c r="D103" s="232" t="s">
        <v>26</v>
      </c>
      <c r="E103" s="95" t="s">
        <v>445</v>
      </c>
      <c r="F103" s="95" t="s">
        <v>406</v>
      </c>
      <c r="G103" s="101">
        <v>45724</v>
      </c>
      <c r="H103" s="95" t="s">
        <v>31</v>
      </c>
      <c r="I103" s="97"/>
      <c r="J103" s="97">
        <v>51</v>
      </c>
      <c r="K103" s="97"/>
      <c r="L103" s="97">
        <v>30</v>
      </c>
      <c r="M103" s="97">
        <v>53</v>
      </c>
      <c r="N103" s="145">
        <f t="shared" si="4"/>
        <v>134</v>
      </c>
      <c r="O103" s="98">
        <v>204</v>
      </c>
      <c r="P103" s="95" t="s">
        <v>439</v>
      </c>
      <c r="Q103" s="79">
        <v>45730</v>
      </c>
      <c r="R103" s="1"/>
    </row>
    <row r="104" spans="1:18" ht="15.75" customHeight="1" x14ac:dyDescent="0.2">
      <c r="A104" s="57" t="s">
        <v>798</v>
      </c>
      <c r="B104" s="94" t="s">
        <v>790</v>
      </c>
      <c r="C104" s="95" t="s">
        <v>799</v>
      </c>
      <c r="D104" s="232" t="s">
        <v>26</v>
      </c>
      <c r="E104" s="95" t="s">
        <v>413</v>
      </c>
      <c r="F104" s="95" t="s">
        <v>406</v>
      </c>
      <c r="G104" s="101">
        <v>45727</v>
      </c>
      <c r="H104" s="95" t="s">
        <v>31</v>
      </c>
      <c r="I104" s="97"/>
      <c r="J104" s="97">
        <v>125</v>
      </c>
      <c r="K104" s="97"/>
      <c r="L104" s="97">
        <v>15</v>
      </c>
      <c r="M104" s="97"/>
      <c r="N104" s="145">
        <f t="shared" si="4"/>
        <v>140</v>
      </c>
      <c r="O104" s="98">
        <v>210</v>
      </c>
      <c r="P104" s="95" t="s">
        <v>466</v>
      </c>
      <c r="Q104" s="79">
        <v>45730</v>
      </c>
      <c r="R104" s="1"/>
    </row>
    <row r="105" spans="1:18" ht="15.75" customHeight="1" x14ac:dyDescent="0.2">
      <c r="A105" s="152" t="s">
        <v>656</v>
      </c>
      <c r="B105" s="94" t="s">
        <v>791</v>
      </c>
      <c r="C105" s="81" t="s">
        <v>802</v>
      </c>
      <c r="D105" s="232" t="s">
        <v>26</v>
      </c>
      <c r="E105" s="81" t="s">
        <v>445</v>
      </c>
      <c r="F105" s="81" t="s">
        <v>406</v>
      </c>
      <c r="G105" s="101">
        <v>45730</v>
      </c>
      <c r="H105" s="81" t="s">
        <v>31</v>
      </c>
      <c r="I105" s="182"/>
      <c r="J105" s="97">
        <v>50</v>
      </c>
      <c r="K105" s="97">
        <v>230</v>
      </c>
      <c r="L105" s="97">
        <v>100</v>
      </c>
      <c r="M105" s="97"/>
      <c r="N105" s="145">
        <f t="shared" si="4"/>
        <v>380</v>
      </c>
      <c r="O105" s="98">
        <v>311</v>
      </c>
      <c r="P105" s="81" t="s">
        <v>414</v>
      </c>
      <c r="Q105" s="79">
        <v>45733</v>
      </c>
      <c r="R105" s="1"/>
    </row>
    <row r="106" spans="1:18" ht="15.75" customHeight="1" x14ac:dyDescent="0.2">
      <c r="A106" s="57" t="s">
        <v>656</v>
      </c>
      <c r="B106" s="94" t="s">
        <v>792</v>
      </c>
      <c r="C106" s="95" t="s">
        <v>803</v>
      </c>
      <c r="D106" s="232" t="s">
        <v>26</v>
      </c>
      <c r="E106" s="95" t="s">
        <v>445</v>
      </c>
      <c r="F106" s="95" t="s">
        <v>406</v>
      </c>
      <c r="G106" s="101">
        <v>45730</v>
      </c>
      <c r="H106" s="95" t="s">
        <v>31</v>
      </c>
      <c r="I106" s="97"/>
      <c r="J106" s="97">
        <v>50</v>
      </c>
      <c r="K106" s="97"/>
      <c r="L106" s="97">
        <v>100</v>
      </c>
      <c r="M106" s="97">
        <v>300</v>
      </c>
      <c r="N106" s="145">
        <f t="shared" si="4"/>
        <v>450</v>
      </c>
      <c r="O106" s="98">
        <v>421</v>
      </c>
      <c r="P106" s="95" t="s">
        <v>489</v>
      </c>
      <c r="Q106" s="79">
        <v>45733</v>
      </c>
      <c r="R106" s="1"/>
    </row>
    <row r="107" spans="1:18" ht="33" customHeight="1" x14ac:dyDescent="0.2">
      <c r="A107" s="2" t="s">
        <v>817</v>
      </c>
      <c r="B107" s="94" t="s">
        <v>793</v>
      </c>
      <c r="C107" s="95" t="s">
        <v>815</v>
      </c>
      <c r="D107" s="232" t="s">
        <v>26</v>
      </c>
      <c r="E107" s="95" t="s">
        <v>436</v>
      </c>
      <c r="F107" s="95" t="s">
        <v>406</v>
      </c>
      <c r="G107" s="99" t="s">
        <v>816</v>
      </c>
      <c r="H107" s="95" t="s">
        <v>31</v>
      </c>
      <c r="I107" s="97"/>
      <c r="J107" s="97">
        <v>65</v>
      </c>
      <c r="K107" s="97"/>
      <c r="L107" s="97"/>
      <c r="M107" s="97"/>
      <c r="N107" s="145">
        <f t="shared" si="4"/>
        <v>65</v>
      </c>
      <c r="O107" s="98">
        <v>205</v>
      </c>
      <c r="P107" s="95" t="s">
        <v>417</v>
      </c>
      <c r="Q107" s="79">
        <v>45734</v>
      </c>
      <c r="R107" s="1"/>
    </row>
    <row r="108" spans="1:18" ht="15.75" customHeight="1" x14ac:dyDescent="0.2">
      <c r="A108" s="152" t="s">
        <v>656</v>
      </c>
      <c r="B108" s="94" t="s">
        <v>794</v>
      </c>
      <c r="C108" s="133" t="s">
        <v>818</v>
      </c>
      <c r="D108" s="232" t="s">
        <v>26</v>
      </c>
      <c r="E108" s="81" t="s">
        <v>445</v>
      </c>
      <c r="F108" s="81" t="s">
        <v>406</v>
      </c>
      <c r="G108" s="101">
        <v>45730</v>
      </c>
      <c r="H108" s="95" t="s">
        <v>31</v>
      </c>
      <c r="I108" s="97">
        <v>200</v>
      </c>
      <c r="J108" s="97">
        <v>50</v>
      </c>
      <c r="K108" s="97"/>
      <c r="L108" s="97">
        <v>100</v>
      </c>
      <c r="M108" s="97"/>
      <c r="N108" s="145">
        <f t="shared" si="4"/>
        <v>350</v>
      </c>
      <c r="O108" s="98">
        <v>178</v>
      </c>
      <c r="P108" s="95" t="s">
        <v>425</v>
      </c>
      <c r="Q108" s="79">
        <v>45734</v>
      </c>
      <c r="R108" s="1"/>
    </row>
    <row r="109" spans="1:18" ht="46.5" customHeight="1" x14ac:dyDescent="0.2">
      <c r="A109" s="57" t="s">
        <v>821</v>
      </c>
      <c r="B109" s="94" t="s">
        <v>795</v>
      </c>
      <c r="C109" s="99" t="s">
        <v>822</v>
      </c>
      <c r="D109" s="77" t="s">
        <v>1356</v>
      </c>
      <c r="E109" s="95" t="s">
        <v>436</v>
      </c>
      <c r="F109" s="81" t="s">
        <v>406</v>
      </c>
      <c r="G109" s="99" t="s">
        <v>823</v>
      </c>
      <c r="H109" s="95" t="s">
        <v>31</v>
      </c>
      <c r="I109" s="97"/>
      <c r="J109" s="97"/>
      <c r="K109" s="97"/>
      <c r="L109" s="97">
        <v>74</v>
      </c>
      <c r="M109" s="97"/>
      <c r="N109" s="145">
        <f t="shared" si="4"/>
        <v>74</v>
      </c>
      <c r="O109" s="98">
        <v>214</v>
      </c>
      <c r="P109" s="95" t="s">
        <v>417</v>
      </c>
      <c r="Q109" s="79">
        <v>45735</v>
      </c>
      <c r="R109" s="1"/>
    </row>
    <row r="110" spans="1:18" ht="15.75" customHeight="1" x14ac:dyDescent="0.2">
      <c r="A110" s="152" t="s">
        <v>656</v>
      </c>
      <c r="B110" s="94" t="s">
        <v>796</v>
      </c>
      <c r="C110" s="95" t="s">
        <v>824</v>
      </c>
      <c r="D110" s="232" t="s">
        <v>26</v>
      </c>
      <c r="E110" s="95" t="s">
        <v>445</v>
      </c>
      <c r="F110" s="81" t="s">
        <v>406</v>
      </c>
      <c r="G110" s="101">
        <v>45735</v>
      </c>
      <c r="H110" s="95" t="s">
        <v>31</v>
      </c>
      <c r="I110" s="97"/>
      <c r="J110" s="97">
        <v>50</v>
      </c>
      <c r="K110" s="97">
        <v>230</v>
      </c>
      <c r="L110" s="97">
        <v>100</v>
      </c>
      <c r="M110" s="97"/>
      <c r="N110" s="145">
        <f t="shared" si="4"/>
        <v>380</v>
      </c>
      <c r="O110" s="98">
        <v>450</v>
      </c>
      <c r="P110" s="95" t="s">
        <v>414</v>
      </c>
      <c r="Q110" s="79">
        <v>45736</v>
      </c>
      <c r="R110" s="1"/>
    </row>
    <row r="111" spans="1:18" ht="15.75" customHeight="1" x14ac:dyDescent="0.2">
      <c r="A111" s="152" t="s">
        <v>656</v>
      </c>
      <c r="B111" s="94" t="s">
        <v>804</v>
      </c>
      <c r="C111" s="95" t="s">
        <v>825</v>
      </c>
      <c r="D111" s="232" t="s">
        <v>26</v>
      </c>
      <c r="E111" s="95" t="s">
        <v>445</v>
      </c>
      <c r="F111" s="81" t="s">
        <v>406</v>
      </c>
      <c r="G111" s="101">
        <v>45735</v>
      </c>
      <c r="H111" s="95" t="s">
        <v>31</v>
      </c>
      <c r="I111" s="97">
        <v>200</v>
      </c>
      <c r="J111" s="97">
        <v>50</v>
      </c>
      <c r="K111" s="97"/>
      <c r="L111" s="97">
        <v>100</v>
      </c>
      <c r="M111" s="97">
        <v>100</v>
      </c>
      <c r="N111" s="145">
        <f t="shared" si="4"/>
        <v>450</v>
      </c>
      <c r="O111" s="98">
        <v>398</v>
      </c>
      <c r="P111" s="95" t="s">
        <v>425</v>
      </c>
      <c r="Q111" s="79">
        <v>45735</v>
      </c>
      <c r="R111" s="1"/>
    </row>
    <row r="112" spans="1:18" ht="30" customHeight="1" x14ac:dyDescent="0.2">
      <c r="A112" s="2" t="s">
        <v>752</v>
      </c>
      <c r="B112" s="94" t="s">
        <v>826</v>
      </c>
      <c r="C112" s="95" t="s">
        <v>819</v>
      </c>
      <c r="D112" s="232" t="s">
        <v>26</v>
      </c>
      <c r="E112" s="95" t="s">
        <v>413</v>
      </c>
      <c r="F112" s="95" t="s">
        <v>461</v>
      </c>
      <c r="G112" s="99" t="s">
        <v>820</v>
      </c>
      <c r="H112" s="95" t="s">
        <v>31</v>
      </c>
      <c r="I112" s="97"/>
      <c r="J112" s="97"/>
      <c r="K112" s="97"/>
      <c r="L112" s="97">
        <v>202</v>
      </c>
      <c r="M112" s="97"/>
      <c r="N112" s="145">
        <f t="shared" si="4"/>
        <v>202</v>
      </c>
      <c r="O112" s="98">
        <v>342</v>
      </c>
      <c r="P112" s="95" t="s">
        <v>414</v>
      </c>
      <c r="Q112" s="79">
        <v>45736</v>
      </c>
      <c r="R112" s="1"/>
    </row>
    <row r="113" spans="1:18" ht="15.75" customHeight="1" x14ac:dyDescent="0.2">
      <c r="A113" s="2" t="s">
        <v>430</v>
      </c>
      <c r="B113" s="94" t="s">
        <v>827</v>
      </c>
      <c r="C113" s="95" t="s">
        <v>844</v>
      </c>
      <c r="D113" s="232" t="s">
        <v>26</v>
      </c>
      <c r="E113" s="95" t="s">
        <v>491</v>
      </c>
      <c r="F113" s="95" t="s">
        <v>406</v>
      </c>
      <c r="G113" s="101">
        <v>45736</v>
      </c>
      <c r="H113" s="95" t="s">
        <v>31</v>
      </c>
      <c r="I113" s="97" t="s">
        <v>407</v>
      </c>
      <c r="J113" s="97">
        <v>100</v>
      </c>
      <c r="K113" s="97" t="s">
        <v>407</v>
      </c>
      <c r="L113" s="97">
        <v>40</v>
      </c>
      <c r="M113" s="97">
        <v>60</v>
      </c>
      <c r="N113" s="131">
        <v>200</v>
      </c>
      <c r="O113" s="103">
        <v>322</v>
      </c>
      <c r="P113" s="95" t="s">
        <v>429</v>
      </c>
      <c r="Q113" s="79">
        <v>45736</v>
      </c>
      <c r="R113" s="204">
        <f>O113-N113</f>
        <v>122</v>
      </c>
    </row>
    <row r="114" spans="1:18" ht="53.25" customHeight="1" x14ac:dyDescent="0.2">
      <c r="A114" s="57" t="s">
        <v>846</v>
      </c>
      <c r="B114" s="94" t="s">
        <v>828</v>
      </c>
      <c r="C114" s="99" t="s">
        <v>845</v>
      </c>
      <c r="D114" s="232" t="s">
        <v>1356</v>
      </c>
      <c r="E114" s="95" t="s">
        <v>436</v>
      </c>
      <c r="F114" s="95" t="s">
        <v>406</v>
      </c>
      <c r="G114" s="99" t="s">
        <v>847</v>
      </c>
      <c r="H114" s="95" t="s">
        <v>31</v>
      </c>
      <c r="I114" s="97"/>
      <c r="J114" s="97">
        <v>86.5</v>
      </c>
      <c r="K114" s="97"/>
      <c r="L114" s="97">
        <v>60</v>
      </c>
      <c r="M114" s="97"/>
      <c r="N114" s="131">
        <f>SUM(I114:M114)</f>
        <v>146.5</v>
      </c>
      <c r="O114" s="98">
        <v>146.5</v>
      </c>
      <c r="P114" s="95" t="s">
        <v>632</v>
      </c>
      <c r="Q114" s="79">
        <v>45737</v>
      </c>
      <c r="R114" s="1"/>
    </row>
    <row r="115" spans="1:18" ht="15.75" customHeight="1" x14ac:dyDescent="0.2">
      <c r="A115" s="2" t="s">
        <v>849</v>
      </c>
      <c r="B115" s="94" t="s">
        <v>843</v>
      </c>
      <c r="C115" s="95" t="s">
        <v>848</v>
      </c>
      <c r="D115" s="232" t="s">
        <v>26</v>
      </c>
      <c r="E115" s="95" t="s">
        <v>661</v>
      </c>
      <c r="F115" s="95" t="s">
        <v>406</v>
      </c>
      <c r="G115" s="101">
        <v>45737</v>
      </c>
      <c r="H115" s="95" t="s">
        <v>31</v>
      </c>
      <c r="I115" s="97"/>
      <c r="J115" s="97">
        <v>100</v>
      </c>
      <c r="K115" s="97"/>
      <c r="L115" s="97">
        <v>50</v>
      </c>
      <c r="M115" s="97"/>
      <c r="N115" s="145">
        <v>150</v>
      </c>
      <c r="O115" s="98">
        <v>90</v>
      </c>
      <c r="P115" s="95" t="s">
        <v>520</v>
      </c>
      <c r="Q115" s="79">
        <v>45737</v>
      </c>
      <c r="R115" s="1"/>
    </row>
    <row r="116" spans="1:18" ht="15.75" customHeight="1" x14ac:dyDescent="0.2">
      <c r="A116" s="2" t="s">
        <v>443</v>
      </c>
      <c r="B116" s="94" t="s">
        <v>850</v>
      </c>
      <c r="C116" s="99" t="s">
        <v>852</v>
      </c>
      <c r="D116" s="232" t="s">
        <v>26</v>
      </c>
      <c r="E116" s="95" t="s">
        <v>445</v>
      </c>
      <c r="F116" s="81" t="s">
        <v>406</v>
      </c>
      <c r="G116" s="101">
        <v>45737</v>
      </c>
      <c r="H116" s="95" t="s">
        <v>31</v>
      </c>
      <c r="I116" s="97"/>
      <c r="J116" s="97">
        <v>50</v>
      </c>
      <c r="K116" s="97">
        <v>230</v>
      </c>
      <c r="L116" s="97">
        <v>100</v>
      </c>
      <c r="M116" s="97"/>
      <c r="N116" s="145">
        <f t="shared" ref="N116:N146" si="5">SUM(I116:M116)</f>
        <v>380</v>
      </c>
      <c r="O116" s="98">
        <v>224.5</v>
      </c>
      <c r="P116" s="95" t="s">
        <v>414</v>
      </c>
      <c r="Q116" s="79">
        <v>45737</v>
      </c>
      <c r="R116" s="1"/>
    </row>
    <row r="117" spans="1:18" ht="15.75" customHeight="1" x14ac:dyDescent="0.2">
      <c r="A117" s="2" t="s">
        <v>443</v>
      </c>
      <c r="B117" s="94" t="s">
        <v>851</v>
      </c>
      <c r="C117" s="99" t="s">
        <v>853</v>
      </c>
      <c r="D117" s="232" t="s">
        <v>26</v>
      </c>
      <c r="E117" s="95" t="s">
        <v>445</v>
      </c>
      <c r="F117" s="81" t="s">
        <v>406</v>
      </c>
      <c r="G117" s="101">
        <v>45737</v>
      </c>
      <c r="H117" s="95" t="s">
        <v>31</v>
      </c>
      <c r="I117" s="97">
        <v>200</v>
      </c>
      <c r="J117" s="97">
        <v>50</v>
      </c>
      <c r="K117" s="97"/>
      <c r="L117" s="97">
        <v>100</v>
      </c>
      <c r="M117" s="97">
        <v>100</v>
      </c>
      <c r="N117" s="145">
        <f t="shared" si="5"/>
        <v>450</v>
      </c>
      <c r="O117" s="98">
        <v>448</v>
      </c>
      <c r="P117" s="95" t="s">
        <v>425</v>
      </c>
      <c r="Q117" s="79">
        <v>45737</v>
      </c>
      <c r="R117" s="1"/>
    </row>
    <row r="118" spans="1:18" ht="30" customHeight="1" x14ac:dyDescent="0.2">
      <c r="A118" s="57" t="s">
        <v>856</v>
      </c>
      <c r="B118" s="94" t="s">
        <v>854</v>
      </c>
      <c r="C118" s="99" t="s">
        <v>857</v>
      </c>
      <c r="D118" s="232" t="s">
        <v>1357</v>
      </c>
      <c r="E118" s="95" t="s">
        <v>436</v>
      </c>
      <c r="F118" s="81" t="s">
        <v>406</v>
      </c>
      <c r="G118" s="146" t="s">
        <v>858</v>
      </c>
      <c r="H118" s="95" t="s">
        <v>31</v>
      </c>
      <c r="I118" s="97"/>
      <c r="J118" s="97"/>
      <c r="K118" s="97"/>
      <c r="L118" s="97">
        <v>67</v>
      </c>
      <c r="M118" s="97"/>
      <c r="N118" s="145">
        <f t="shared" si="5"/>
        <v>67</v>
      </c>
      <c r="O118" s="98">
        <v>207</v>
      </c>
      <c r="P118" s="95" t="s">
        <v>417</v>
      </c>
      <c r="Q118" s="79">
        <v>45740</v>
      </c>
      <c r="R118" s="1"/>
    </row>
    <row r="119" spans="1:18" ht="15.75" customHeight="1" x14ac:dyDescent="0.2">
      <c r="A119" s="152" t="s">
        <v>656</v>
      </c>
      <c r="B119" s="94" t="s">
        <v>855</v>
      </c>
      <c r="C119" s="95" t="s">
        <v>862</v>
      </c>
      <c r="D119" s="232" t="s">
        <v>26</v>
      </c>
      <c r="E119" s="95" t="s">
        <v>445</v>
      </c>
      <c r="F119" s="81" t="s">
        <v>406</v>
      </c>
      <c r="G119" s="101">
        <v>45740</v>
      </c>
      <c r="H119" s="81" t="s">
        <v>31</v>
      </c>
      <c r="I119" s="182"/>
      <c r="J119" s="97">
        <v>50</v>
      </c>
      <c r="K119" s="97">
        <v>230</v>
      </c>
      <c r="L119" s="97">
        <v>100</v>
      </c>
      <c r="M119" s="97"/>
      <c r="N119" s="145">
        <f t="shared" si="5"/>
        <v>380</v>
      </c>
      <c r="O119" s="103">
        <v>450</v>
      </c>
      <c r="P119" s="81" t="s">
        <v>414</v>
      </c>
      <c r="Q119" s="79">
        <v>45740</v>
      </c>
      <c r="R119" s="1"/>
    </row>
    <row r="120" spans="1:18" ht="15.75" customHeight="1" x14ac:dyDescent="0.2">
      <c r="A120" s="152" t="s">
        <v>656</v>
      </c>
      <c r="B120" s="94" t="s">
        <v>861</v>
      </c>
      <c r="C120" s="95" t="s">
        <v>863</v>
      </c>
      <c r="D120" s="232" t="s">
        <v>26</v>
      </c>
      <c r="E120" s="95" t="s">
        <v>445</v>
      </c>
      <c r="F120" s="81" t="s">
        <v>406</v>
      </c>
      <c r="G120" s="101">
        <v>45740</v>
      </c>
      <c r="H120" s="95" t="s">
        <v>31</v>
      </c>
      <c r="I120" s="97"/>
      <c r="J120" s="97">
        <v>50</v>
      </c>
      <c r="K120" s="97"/>
      <c r="L120" s="97">
        <v>100</v>
      </c>
      <c r="M120" s="97">
        <v>300</v>
      </c>
      <c r="N120" s="145">
        <f t="shared" si="5"/>
        <v>450</v>
      </c>
      <c r="O120" s="98">
        <v>344</v>
      </c>
      <c r="P120" s="95" t="s">
        <v>489</v>
      </c>
      <c r="Q120" s="79">
        <v>45740</v>
      </c>
      <c r="R120" s="1"/>
    </row>
    <row r="121" spans="1:18" ht="15.75" customHeight="1" x14ac:dyDescent="0.2">
      <c r="A121" s="2" t="s">
        <v>418</v>
      </c>
      <c r="B121" s="94" t="s">
        <v>864</v>
      </c>
      <c r="C121" s="95" t="s">
        <v>729</v>
      </c>
      <c r="D121" s="232" t="s">
        <v>26</v>
      </c>
      <c r="E121" s="95" t="s">
        <v>413</v>
      </c>
      <c r="F121" s="95" t="s">
        <v>461</v>
      </c>
      <c r="G121" s="101">
        <v>45734</v>
      </c>
      <c r="H121" s="95" t="s">
        <v>31</v>
      </c>
      <c r="I121" s="97"/>
      <c r="J121" s="97">
        <v>165</v>
      </c>
      <c r="K121" s="97"/>
      <c r="L121" s="97">
        <v>30</v>
      </c>
      <c r="M121" s="97"/>
      <c r="N121" s="145">
        <f t="shared" si="5"/>
        <v>195</v>
      </c>
      <c r="O121" s="98">
        <v>265</v>
      </c>
      <c r="P121" s="95" t="s">
        <v>414</v>
      </c>
      <c r="Q121" s="79">
        <v>45741</v>
      </c>
      <c r="R121" s="1"/>
    </row>
    <row r="122" spans="1:18" ht="15.75" customHeight="1" x14ac:dyDescent="0.2">
      <c r="A122" s="2" t="s">
        <v>418</v>
      </c>
      <c r="B122" s="94" t="s">
        <v>865</v>
      </c>
      <c r="C122" s="95" t="s">
        <v>869</v>
      </c>
      <c r="D122" s="232" t="s">
        <v>26</v>
      </c>
      <c r="E122" s="95" t="s">
        <v>413</v>
      </c>
      <c r="F122" s="95" t="s">
        <v>406</v>
      </c>
      <c r="G122" s="101">
        <v>45737</v>
      </c>
      <c r="H122" s="95" t="s">
        <v>31</v>
      </c>
      <c r="I122" s="97"/>
      <c r="J122" s="97">
        <v>173</v>
      </c>
      <c r="K122" s="97"/>
      <c r="L122" s="97">
        <v>30</v>
      </c>
      <c r="M122" s="97">
        <v>96</v>
      </c>
      <c r="N122" s="145">
        <f t="shared" si="5"/>
        <v>299</v>
      </c>
      <c r="O122" s="98">
        <v>439</v>
      </c>
      <c r="P122" s="95" t="s">
        <v>414</v>
      </c>
      <c r="Q122" s="79">
        <v>45741</v>
      </c>
      <c r="R122" s="1"/>
    </row>
    <row r="123" spans="1:18" ht="30" customHeight="1" x14ac:dyDescent="0.2">
      <c r="A123" s="57" t="s">
        <v>503</v>
      </c>
      <c r="B123" s="94" t="s">
        <v>866</v>
      </c>
      <c r="C123" s="95" t="s">
        <v>870</v>
      </c>
      <c r="D123" s="232" t="s">
        <v>26</v>
      </c>
      <c r="E123" s="95" t="s">
        <v>871</v>
      </c>
      <c r="F123" s="95" t="s">
        <v>406</v>
      </c>
      <c r="G123" s="101">
        <v>45740</v>
      </c>
      <c r="H123" s="95" t="s">
        <v>31</v>
      </c>
      <c r="I123" s="97"/>
      <c r="J123" s="97">
        <v>100</v>
      </c>
      <c r="K123" s="97"/>
      <c r="L123" s="97">
        <v>15</v>
      </c>
      <c r="M123" s="97"/>
      <c r="N123" s="145">
        <f t="shared" si="5"/>
        <v>115</v>
      </c>
      <c r="O123" s="98">
        <v>185</v>
      </c>
      <c r="P123" s="95" t="s">
        <v>414</v>
      </c>
      <c r="Q123" s="79">
        <v>45741</v>
      </c>
      <c r="R123" s="1"/>
    </row>
    <row r="124" spans="1:18" ht="15.75" customHeight="1" x14ac:dyDescent="0.2">
      <c r="A124" s="57" t="s">
        <v>880</v>
      </c>
      <c r="B124" s="94" t="s">
        <v>867</v>
      </c>
      <c r="C124" s="95" t="s">
        <v>884</v>
      </c>
      <c r="D124" s="232" t="s">
        <v>26</v>
      </c>
      <c r="E124" s="95" t="s">
        <v>661</v>
      </c>
      <c r="F124" s="95" t="s">
        <v>406</v>
      </c>
      <c r="G124" s="101">
        <v>45739</v>
      </c>
      <c r="H124" s="95" t="s">
        <v>31</v>
      </c>
      <c r="I124" s="97"/>
      <c r="J124" s="97">
        <v>130</v>
      </c>
      <c r="K124" s="97"/>
      <c r="L124" s="97">
        <v>50</v>
      </c>
      <c r="M124" s="97"/>
      <c r="N124" s="145">
        <f t="shared" si="5"/>
        <v>180</v>
      </c>
      <c r="O124" s="98">
        <v>180</v>
      </c>
      <c r="P124" s="95" t="s">
        <v>520</v>
      </c>
      <c r="Q124" s="79">
        <v>45742</v>
      </c>
      <c r="R124" s="1"/>
    </row>
    <row r="125" spans="1:18" ht="15.75" customHeight="1" x14ac:dyDescent="0.2">
      <c r="A125" s="57" t="s">
        <v>656</v>
      </c>
      <c r="B125" s="94" t="s">
        <v>868</v>
      </c>
      <c r="C125" s="95" t="s">
        <v>886</v>
      </c>
      <c r="D125" s="232" t="s">
        <v>26</v>
      </c>
      <c r="E125" s="95" t="s">
        <v>445</v>
      </c>
      <c r="F125" s="81" t="s">
        <v>406</v>
      </c>
      <c r="G125" s="101">
        <v>45741</v>
      </c>
      <c r="H125" s="81" t="s">
        <v>31</v>
      </c>
      <c r="I125" s="182"/>
      <c r="J125" s="97">
        <v>50</v>
      </c>
      <c r="K125" s="97">
        <v>230</v>
      </c>
      <c r="L125" s="97">
        <v>100</v>
      </c>
      <c r="M125" s="97"/>
      <c r="N125" s="145">
        <f t="shared" si="5"/>
        <v>380</v>
      </c>
      <c r="O125" s="103">
        <v>297</v>
      </c>
      <c r="P125" s="81" t="s">
        <v>414</v>
      </c>
      <c r="Q125" s="79">
        <v>45741</v>
      </c>
      <c r="R125" s="1"/>
    </row>
    <row r="126" spans="1:18" ht="15.75" customHeight="1" x14ac:dyDescent="0.2">
      <c r="A126" s="57" t="s">
        <v>656</v>
      </c>
      <c r="B126" s="94" t="s">
        <v>874</v>
      </c>
      <c r="C126" s="95" t="s">
        <v>887</v>
      </c>
      <c r="D126" s="232" t="s">
        <v>26</v>
      </c>
      <c r="E126" s="95" t="s">
        <v>445</v>
      </c>
      <c r="F126" s="81" t="s">
        <v>406</v>
      </c>
      <c r="G126" s="101">
        <v>45741</v>
      </c>
      <c r="H126" s="95" t="s">
        <v>31</v>
      </c>
      <c r="I126" s="97"/>
      <c r="J126" s="97">
        <v>50</v>
      </c>
      <c r="K126" s="97"/>
      <c r="L126" s="97">
        <v>100</v>
      </c>
      <c r="M126" s="97">
        <v>300</v>
      </c>
      <c r="N126" s="145">
        <f t="shared" si="5"/>
        <v>450</v>
      </c>
      <c r="O126" s="103">
        <v>368.5</v>
      </c>
      <c r="P126" s="95" t="s">
        <v>489</v>
      </c>
      <c r="Q126" s="79">
        <v>45741</v>
      </c>
      <c r="R126" s="1"/>
    </row>
    <row r="127" spans="1:18" ht="51.75" customHeight="1" x14ac:dyDescent="0.2">
      <c r="A127" s="57" t="s">
        <v>912</v>
      </c>
      <c r="B127" s="94" t="s">
        <v>883</v>
      </c>
      <c r="C127" s="99" t="s">
        <v>888</v>
      </c>
      <c r="D127" s="232" t="s">
        <v>26</v>
      </c>
      <c r="E127" s="95" t="s">
        <v>436</v>
      </c>
      <c r="F127" s="81" t="s">
        <v>406</v>
      </c>
      <c r="G127" s="146" t="s">
        <v>889</v>
      </c>
      <c r="H127" s="95" t="s">
        <v>31</v>
      </c>
      <c r="I127" s="97"/>
      <c r="J127" s="97"/>
      <c r="K127" s="97"/>
      <c r="L127" s="97">
        <v>67</v>
      </c>
      <c r="M127" s="97"/>
      <c r="N127" s="145">
        <f t="shared" si="5"/>
        <v>67</v>
      </c>
      <c r="O127" s="98">
        <v>207</v>
      </c>
      <c r="P127" s="95" t="s">
        <v>417</v>
      </c>
      <c r="Q127" s="79">
        <v>45744</v>
      </c>
      <c r="R127" s="1"/>
    </row>
    <row r="128" spans="1:18" ht="32.25" customHeight="1" x14ac:dyDescent="0.2">
      <c r="A128" s="57" t="s">
        <v>881</v>
      </c>
      <c r="B128" s="94" t="s">
        <v>885</v>
      </c>
      <c r="C128" s="99" t="s">
        <v>882</v>
      </c>
      <c r="D128" s="232" t="s">
        <v>26</v>
      </c>
      <c r="E128" s="95" t="s">
        <v>876</v>
      </c>
      <c r="F128" s="95" t="s">
        <v>406</v>
      </c>
      <c r="G128" s="146" t="s">
        <v>891</v>
      </c>
      <c r="H128" s="95" t="s">
        <v>31</v>
      </c>
      <c r="I128" s="97"/>
      <c r="J128" s="97">
        <v>173</v>
      </c>
      <c r="K128" s="97"/>
      <c r="L128" s="97">
        <v>15</v>
      </c>
      <c r="M128" s="97">
        <v>33.9</v>
      </c>
      <c r="N128" s="145">
        <f t="shared" si="5"/>
        <v>221.9</v>
      </c>
      <c r="O128" s="98">
        <v>221.9</v>
      </c>
      <c r="P128" s="95" t="s">
        <v>489</v>
      </c>
      <c r="Q128" s="79">
        <v>45744</v>
      </c>
      <c r="R128" s="1"/>
    </row>
    <row r="129" spans="1:18" ht="32.25" customHeight="1" x14ac:dyDescent="0.2">
      <c r="A129" s="57" t="s">
        <v>892</v>
      </c>
      <c r="B129" s="94" t="s">
        <v>893</v>
      </c>
      <c r="C129" s="99" t="s">
        <v>894</v>
      </c>
      <c r="D129" s="232" t="s">
        <v>26</v>
      </c>
      <c r="E129" s="95" t="s">
        <v>436</v>
      </c>
      <c r="F129" s="95" t="s">
        <v>406</v>
      </c>
      <c r="G129" s="146" t="s">
        <v>895</v>
      </c>
      <c r="H129" s="95" t="s">
        <v>31</v>
      </c>
      <c r="I129" s="97"/>
      <c r="J129" s="97">
        <v>110.5</v>
      </c>
      <c r="K129" s="97"/>
      <c r="L129" s="97">
        <v>14</v>
      </c>
      <c r="M129" s="97"/>
      <c r="N129" s="145">
        <f t="shared" si="5"/>
        <v>124.5</v>
      </c>
      <c r="O129" s="98">
        <v>124.5</v>
      </c>
      <c r="P129" s="95" t="s">
        <v>429</v>
      </c>
      <c r="Q129" s="79">
        <v>45744</v>
      </c>
      <c r="R129" s="1"/>
    </row>
    <row r="130" spans="1:18" ht="32.25" customHeight="1" x14ac:dyDescent="0.2">
      <c r="A130" s="183" t="s">
        <v>896</v>
      </c>
      <c r="B130" s="94" t="s">
        <v>897</v>
      </c>
      <c r="C130" s="191" t="s">
        <v>898</v>
      </c>
      <c r="D130" s="232" t="s">
        <v>26</v>
      </c>
      <c r="E130" s="95" t="s">
        <v>436</v>
      </c>
      <c r="F130" s="95" t="s">
        <v>406</v>
      </c>
      <c r="G130" s="146" t="s">
        <v>899</v>
      </c>
      <c r="H130" s="95" t="s">
        <v>31</v>
      </c>
      <c r="I130" s="97"/>
      <c r="J130" s="97">
        <v>115</v>
      </c>
      <c r="K130" s="97"/>
      <c r="L130" s="97">
        <v>15</v>
      </c>
      <c r="M130" s="97"/>
      <c r="N130" s="145">
        <f t="shared" si="5"/>
        <v>130</v>
      </c>
      <c r="O130" s="192">
        <v>130</v>
      </c>
      <c r="P130" s="95" t="s">
        <v>632</v>
      </c>
      <c r="Q130" s="79">
        <v>45744</v>
      </c>
      <c r="R130" s="1"/>
    </row>
    <row r="131" spans="1:18" ht="32.25" customHeight="1" x14ac:dyDescent="0.2">
      <c r="A131" s="57" t="s">
        <v>506</v>
      </c>
      <c r="B131" s="94" t="s">
        <v>900</v>
      </c>
      <c r="C131" s="99" t="s">
        <v>757</v>
      </c>
      <c r="D131" s="232" t="s">
        <v>26</v>
      </c>
      <c r="E131" s="95" t="s">
        <v>436</v>
      </c>
      <c r="F131" s="95" t="s">
        <v>461</v>
      </c>
      <c r="G131" s="193" t="s">
        <v>901</v>
      </c>
      <c r="H131" s="95" t="s">
        <v>31</v>
      </c>
      <c r="I131" s="97"/>
      <c r="J131" s="97">
        <v>63</v>
      </c>
      <c r="K131" s="97"/>
      <c r="L131" s="97">
        <v>55</v>
      </c>
      <c r="M131" s="97"/>
      <c r="N131" s="145">
        <f t="shared" si="5"/>
        <v>118</v>
      </c>
      <c r="O131" s="98">
        <v>118</v>
      </c>
      <c r="P131" s="95" t="s">
        <v>632</v>
      </c>
      <c r="Q131" s="79">
        <v>45744</v>
      </c>
      <c r="R131" s="1"/>
    </row>
    <row r="132" spans="1:18" ht="32.25" customHeight="1" x14ac:dyDescent="0.2">
      <c r="A132" s="183" t="s">
        <v>902</v>
      </c>
      <c r="B132" s="94" t="s">
        <v>903</v>
      </c>
      <c r="C132" s="99" t="s">
        <v>904</v>
      </c>
      <c r="D132" s="232" t="s">
        <v>26</v>
      </c>
      <c r="E132" s="95" t="s">
        <v>436</v>
      </c>
      <c r="F132" s="99" t="s">
        <v>905</v>
      </c>
      <c r="G132" s="193" t="s">
        <v>906</v>
      </c>
      <c r="H132" s="95" t="s">
        <v>31</v>
      </c>
      <c r="I132" s="97"/>
      <c r="J132" s="97">
        <v>85</v>
      </c>
      <c r="K132" s="97"/>
      <c r="L132" s="97">
        <v>60</v>
      </c>
      <c r="M132" s="97"/>
      <c r="N132" s="145">
        <f t="shared" si="5"/>
        <v>145</v>
      </c>
      <c r="O132" s="98">
        <v>145</v>
      </c>
      <c r="P132" s="95" t="s">
        <v>456</v>
      </c>
      <c r="Q132" s="79">
        <v>45744</v>
      </c>
      <c r="R132" s="1"/>
    </row>
    <row r="133" spans="1:18" ht="32.25" customHeight="1" x14ac:dyDescent="0.2">
      <c r="A133" s="57" t="s">
        <v>907</v>
      </c>
      <c r="B133" s="94" t="s">
        <v>908</v>
      </c>
      <c r="C133" s="99" t="s">
        <v>909</v>
      </c>
      <c r="D133" s="77" t="s">
        <v>33</v>
      </c>
      <c r="E133" s="95" t="s">
        <v>436</v>
      </c>
      <c r="F133" s="95" t="s">
        <v>406</v>
      </c>
      <c r="G133" s="146">
        <v>45741</v>
      </c>
      <c r="H133" s="95" t="s">
        <v>31</v>
      </c>
      <c r="I133" s="97"/>
      <c r="J133" s="97">
        <v>45</v>
      </c>
      <c r="K133" s="97"/>
      <c r="L133" s="97">
        <v>15</v>
      </c>
      <c r="M133" s="97"/>
      <c r="N133" s="145">
        <f t="shared" si="5"/>
        <v>60</v>
      </c>
      <c r="O133" s="98">
        <v>130</v>
      </c>
      <c r="P133" s="95" t="s">
        <v>417</v>
      </c>
      <c r="Q133" s="79">
        <v>45744</v>
      </c>
      <c r="R133" s="1"/>
    </row>
    <row r="134" spans="1:18" ht="39.75" customHeight="1" x14ac:dyDescent="0.2">
      <c r="A134" s="57" t="s">
        <v>911</v>
      </c>
      <c r="B134" s="94" t="s">
        <v>910</v>
      </c>
      <c r="C134" s="99" t="s">
        <v>914</v>
      </c>
      <c r="D134" s="77" t="s">
        <v>33</v>
      </c>
      <c r="E134" s="95" t="s">
        <v>876</v>
      </c>
      <c r="F134" s="95" t="s">
        <v>406</v>
      </c>
      <c r="G134" s="101">
        <v>45742</v>
      </c>
      <c r="H134" s="95" t="s">
        <v>31</v>
      </c>
      <c r="I134" s="97"/>
      <c r="J134" s="97">
        <v>26</v>
      </c>
      <c r="K134" s="97"/>
      <c r="L134" s="97">
        <v>15</v>
      </c>
      <c r="M134" s="97"/>
      <c r="N134" s="145">
        <f t="shared" si="5"/>
        <v>41</v>
      </c>
      <c r="O134" s="98">
        <v>110</v>
      </c>
      <c r="P134" s="95" t="s">
        <v>417</v>
      </c>
      <c r="Q134" s="79">
        <v>45744</v>
      </c>
      <c r="R134" s="1"/>
    </row>
    <row r="135" spans="1:18" ht="31.5" customHeight="1" x14ac:dyDescent="0.2">
      <c r="A135" s="57" t="s">
        <v>878</v>
      </c>
      <c r="B135" s="94" t="s">
        <v>915</v>
      </c>
      <c r="C135" s="99" t="s">
        <v>879</v>
      </c>
      <c r="D135" s="77" t="s">
        <v>26</v>
      </c>
      <c r="E135" s="95" t="s">
        <v>876</v>
      </c>
      <c r="F135" s="95" t="s">
        <v>406</v>
      </c>
      <c r="G135" s="101">
        <v>45736</v>
      </c>
      <c r="H135" s="95" t="s">
        <v>31</v>
      </c>
      <c r="I135" s="97"/>
      <c r="J135" s="97">
        <v>175</v>
      </c>
      <c r="K135" s="97"/>
      <c r="L135" s="97">
        <v>15</v>
      </c>
      <c r="M135" s="97">
        <v>58.2</v>
      </c>
      <c r="N135" s="145">
        <f t="shared" si="5"/>
        <v>248.2</v>
      </c>
      <c r="O135" s="98">
        <v>248.2</v>
      </c>
      <c r="P135" s="95" t="s">
        <v>489</v>
      </c>
      <c r="Q135" s="79">
        <v>45744</v>
      </c>
      <c r="R135" s="1"/>
    </row>
    <row r="136" spans="1:18" ht="44.25" customHeight="1" x14ac:dyDescent="0.2">
      <c r="A136" s="57" t="s">
        <v>875</v>
      </c>
      <c r="B136" s="94" t="s">
        <v>916</v>
      </c>
      <c r="C136" s="99" t="s">
        <v>877</v>
      </c>
      <c r="D136" s="77" t="s">
        <v>26</v>
      </c>
      <c r="E136" s="95" t="s">
        <v>876</v>
      </c>
      <c r="F136" s="95" t="s">
        <v>406</v>
      </c>
      <c r="G136" s="101">
        <v>45735</v>
      </c>
      <c r="H136" s="95" t="s">
        <v>31</v>
      </c>
      <c r="I136" s="97"/>
      <c r="J136" s="97">
        <v>215</v>
      </c>
      <c r="K136" s="97"/>
      <c r="L136" s="97">
        <v>30</v>
      </c>
      <c r="M136" s="97">
        <v>56.4</v>
      </c>
      <c r="N136" s="145">
        <f t="shared" si="5"/>
        <v>301.39999999999998</v>
      </c>
      <c r="O136" s="98">
        <v>301.39999999999998</v>
      </c>
      <c r="P136" s="95" t="s">
        <v>489</v>
      </c>
      <c r="Q136" s="79">
        <v>45744</v>
      </c>
      <c r="R136" s="1"/>
    </row>
    <row r="137" spans="1:18" ht="30.75" customHeight="1" x14ac:dyDescent="0.2">
      <c r="A137" s="57" t="s">
        <v>920</v>
      </c>
      <c r="B137" s="94" t="s">
        <v>918</v>
      </c>
      <c r="C137" s="99" t="s">
        <v>921</v>
      </c>
      <c r="D137" s="77" t="s">
        <v>26</v>
      </c>
      <c r="E137" s="141" t="s">
        <v>436</v>
      </c>
      <c r="F137" s="99" t="s">
        <v>922</v>
      </c>
      <c r="G137" s="99" t="s">
        <v>923</v>
      </c>
      <c r="H137" s="95" t="s">
        <v>31</v>
      </c>
      <c r="I137" s="97"/>
      <c r="J137" s="97">
        <v>87.5</v>
      </c>
      <c r="K137" s="97"/>
      <c r="L137" s="97">
        <v>15</v>
      </c>
      <c r="M137" s="97"/>
      <c r="N137" s="145">
        <f t="shared" si="5"/>
        <v>102.5</v>
      </c>
      <c r="O137" s="98">
        <v>102.5</v>
      </c>
      <c r="P137" s="95" t="s">
        <v>429</v>
      </c>
      <c r="Q137" s="79">
        <v>45747</v>
      </c>
      <c r="R137" s="1"/>
    </row>
    <row r="138" spans="1:18" ht="15.75" customHeight="1" x14ac:dyDescent="0.2">
      <c r="A138" s="2" t="s">
        <v>418</v>
      </c>
      <c r="B138" s="94" t="s">
        <v>919</v>
      </c>
      <c r="C138" s="95" t="s">
        <v>924</v>
      </c>
      <c r="D138" s="77" t="s">
        <v>26</v>
      </c>
      <c r="E138" s="95" t="s">
        <v>413</v>
      </c>
      <c r="F138" s="95" t="s">
        <v>406</v>
      </c>
      <c r="G138" s="101">
        <v>45744</v>
      </c>
      <c r="H138" s="95" t="s">
        <v>31</v>
      </c>
      <c r="I138" s="97"/>
      <c r="J138" s="97"/>
      <c r="K138" s="97"/>
      <c r="L138" s="97">
        <v>164</v>
      </c>
      <c r="M138" s="97">
        <v>7</v>
      </c>
      <c r="N138" s="145">
        <f t="shared" si="5"/>
        <v>171</v>
      </c>
      <c r="O138" s="98">
        <v>241</v>
      </c>
      <c r="P138" s="95" t="s">
        <v>414</v>
      </c>
      <c r="Q138" s="79">
        <v>45749</v>
      </c>
      <c r="R138" s="1"/>
    </row>
    <row r="139" spans="1:18" ht="15.75" customHeight="1" x14ac:dyDescent="0.2">
      <c r="A139" s="2" t="s">
        <v>934</v>
      </c>
      <c r="B139" s="94" t="s">
        <v>932</v>
      </c>
      <c r="C139" s="95" t="s">
        <v>935</v>
      </c>
      <c r="D139" s="77" t="s">
        <v>26</v>
      </c>
      <c r="E139" s="95" t="s">
        <v>413</v>
      </c>
      <c r="F139" s="95" t="s">
        <v>406</v>
      </c>
      <c r="G139" s="101">
        <v>45748</v>
      </c>
      <c r="H139" s="95" t="s">
        <v>28</v>
      </c>
      <c r="I139" s="97"/>
      <c r="J139" s="97">
        <v>82</v>
      </c>
      <c r="K139" s="97"/>
      <c r="L139" s="97"/>
      <c r="M139" s="97"/>
      <c r="N139" s="145">
        <f t="shared" si="5"/>
        <v>82</v>
      </c>
      <c r="O139" s="98">
        <v>152</v>
      </c>
      <c r="P139" s="95" t="s">
        <v>466</v>
      </c>
      <c r="Q139" s="79">
        <v>45751</v>
      </c>
      <c r="R139" s="1"/>
    </row>
    <row r="140" spans="1:18" ht="15.75" customHeight="1" x14ac:dyDescent="0.2">
      <c r="A140" s="2" t="s">
        <v>936</v>
      </c>
      <c r="B140" s="94" t="s">
        <v>933</v>
      </c>
      <c r="C140" s="95" t="s">
        <v>937</v>
      </c>
      <c r="D140" s="77" t="s">
        <v>26</v>
      </c>
      <c r="E140" s="95" t="s">
        <v>445</v>
      </c>
      <c r="F140" s="95" t="s">
        <v>406</v>
      </c>
      <c r="G140" s="101">
        <v>45748</v>
      </c>
      <c r="H140" s="95" t="s">
        <v>28</v>
      </c>
      <c r="I140" s="97"/>
      <c r="J140" s="97">
        <v>71</v>
      </c>
      <c r="K140" s="97"/>
      <c r="L140" s="97">
        <v>15</v>
      </c>
      <c r="M140" s="97">
        <v>15</v>
      </c>
      <c r="N140" s="145">
        <f t="shared" si="5"/>
        <v>101</v>
      </c>
      <c r="O140" s="98">
        <v>101</v>
      </c>
      <c r="P140" s="95" t="s">
        <v>439</v>
      </c>
      <c r="Q140" s="79">
        <v>45751</v>
      </c>
      <c r="R140" s="1"/>
    </row>
    <row r="141" spans="1:18" ht="79.5" customHeight="1" x14ac:dyDescent="0.2">
      <c r="A141" s="57" t="s">
        <v>939</v>
      </c>
      <c r="B141" s="94" t="s">
        <v>938</v>
      </c>
      <c r="C141" s="99" t="s">
        <v>940</v>
      </c>
      <c r="D141" s="77" t="s">
        <v>1357</v>
      </c>
      <c r="E141" s="95" t="s">
        <v>436</v>
      </c>
      <c r="F141" s="99" t="s">
        <v>941</v>
      </c>
      <c r="G141" s="146" t="s">
        <v>942</v>
      </c>
      <c r="H141" s="95" t="s">
        <v>28</v>
      </c>
      <c r="I141" s="97"/>
      <c r="J141" s="97">
        <v>99</v>
      </c>
      <c r="K141" s="97"/>
      <c r="L141" s="97">
        <v>75</v>
      </c>
      <c r="M141" s="97"/>
      <c r="N141" s="145">
        <f t="shared" si="5"/>
        <v>174</v>
      </c>
      <c r="O141" s="98">
        <v>174</v>
      </c>
      <c r="P141" s="95" t="s">
        <v>425</v>
      </c>
      <c r="Q141" s="79">
        <v>45752</v>
      </c>
      <c r="R141" s="1"/>
    </row>
    <row r="142" spans="1:18" ht="15.75" customHeight="1" x14ac:dyDescent="0.2">
      <c r="A142" s="2" t="s">
        <v>418</v>
      </c>
      <c r="B142" s="94" t="s">
        <v>943</v>
      </c>
      <c r="C142" s="95" t="s">
        <v>947</v>
      </c>
      <c r="D142" s="77" t="s">
        <v>26</v>
      </c>
      <c r="E142" s="95" t="s">
        <v>413</v>
      </c>
      <c r="F142" s="95" t="s">
        <v>406</v>
      </c>
      <c r="G142" s="146">
        <v>45751</v>
      </c>
      <c r="H142" s="95" t="s">
        <v>28</v>
      </c>
      <c r="I142" s="97"/>
      <c r="J142" s="97">
        <v>50</v>
      </c>
      <c r="K142" s="97"/>
      <c r="L142" s="97">
        <v>50</v>
      </c>
      <c r="M142" s="97">
        <v>50</v>
      </c>
      <c r="N142" s="145">
        <f t="shared" si="5"/>
        <v>150</v>
      </c>
      <c r="O142" s="103">
        <v>150</v>
      </c>
      <c r="P142" s="95" t="s">
        <v>948</v>
      </c>
      <c r="Q142" s="79">
        <v>45752</v>
      </c>
      <c r="R142" s="1"/>
    </row>
    <row r="143" spans="1:18" ht="15.75" customHeight="1" x14ac:dyDescent="0.2">
      <c r="A143" s="2" t="s">
        <v>949</v>
      </c>
      <c r="B143" s="94" t="s">
        <v>944</v>
      </c>
      <c r="C143" s="95" t="s">
        <v>950</v>
      </c>
      <c r="D143" s="77" t="s">
        <v>26</v>
      </c>
      <c r="E143" s="95" t="s">
        <v>413</v>
      </c>
      <c r="F143" s="95" t="s">
        <v>406</v>
      </c>
      <c r="G143" s="146">
        <v>45749</v>
      </c>
      <c r="H143" s="95" t="s">
        <v>28</v>
      </c>
      <c r="I143" s="97"/>
      <c r="J143" s="97">
        <v>108</v>
      </c>
      <c r="K143" s="97"/>
      <c r="L143" s="97">
        <v>15</v>
      </c>
      <c r="M143" s="97">
        <v>89</v>
      </c>
      <c r="N143" s="145">
        <f t="shared" si="5"/>
        <v>212</v>
      </c>
      <c r="O143" s="98">
        <v>212</v>
      </c>
      <c r="P143" s="95" t="s">
        <v>466</v>
      </c>
      <c r="Q143" s="79">
        <v>45752</v>
      </c>
      <c r="R143" s="1"/>
    </row>
    <row r="144" spans="1:18" ht="15.75" customHeight="1" x14ac:dyDescent="0.2">
      <c r="A144" s="2" t="s">
        <v>737</v>
      </c>
      <c r="B144" s="94" t="s">
        <v>945</v>
      </c>
      <c r="C144" s="95" t="s">
        <v>951</v>
      </c>
      <c r="D144" s="3" t="s">
        <v>26</v>
      </c>
      <c r="E144" s="95" t="s">
        <v>661</v>
      </c>
      <c r="F144" s="95" t="s">
        <v>406</v>
      </c>
      <c r="G144" s="146">
        <v>45754</v>
      </c>
      <c r="H144" s="95" t="s">
        <v>28</v>
      </c>
      <c r="I144" s="97">
        <v>180</v>
      </c>
      <c r="J144" s="97"/>
      <c r="K144" s="97"/>
      <c r="L144" s="97"/>
      <c r="M144" s="97"/>
      <c r="N144" s="145">
        <f t="shared" si="5"/>
        <v>180</v>
      </c>
      <c r="O144" s="98">
        <v>170</v>
      </c>
      <c r="P144" s="95" t="s">
        <v>520</v>
      </c>
      <c r="Q144" s="79">
        <v>45752</v>
      </c>
      <c r="R144" s="1"/>
    </row>
    <row r="145" spans="1:18" ht="15.75" customHeight="1" x14ac:dyDescent="0.2">
      <c r="A145" s="2" t="s">
        <v>953</v>
      </c>
      <c r="B145" s="94" t="s">
        <v>946</v>
      </c>
      <c r="C145" s="95" t="s">
        <v>952</v>
      </c>
      <c r="D145" s="3" t="s">
        <v>26</v>
      </c>
      <c r="E145" s="95" t="s">
        <v>661</v>
      </c>
      <c r="F145" s="95" t="s">
        <v>406</v>
      </c>
      <c r="G145" s="146">
        <v>45754</v>
      </c>
      <c r="H145" s="95" t="s">
        <v>28</v>
      </c>
      <c r="I145" s="97">
        <v>180</v>
      </c>
      <c r="J145" s="97"/>
      <c r="K145" s="97"/>
      <c r="L145" s="97"/>
      <c r="M145" s="97"/>
      <c r="N145" s="145">
        <f t="shared" si="5"/>
        <v>180</v>
      </c>
      <c r="O145" s="98">
        <v>169</v>
      </c>
      <c r="P145" s="95" t="s">
        <v>520</v>
      </c>
      <c r="Q145" s="79">
        <v>45752</v>
      </c>
      <c r="R145" s="1"/>
    </row>
    <row r="146" spans="1:18" ht="33" customHeight="1" x14ac:dyDescent="0.2">
      <c r="A146" s="57" t="s">
        <v>954</v>
      </c>
      <c r="B146" s="94" t="s">
        <v>956</v>
      </c>
      <c r="C146" s="95" t="s">
        <v>955</v>
      </c>
      <c r="D146" s="77" t="s">
        <v>26</v>
      </c>
      <c r="E146" s="95" t="s">
        <v>413</v>
      </c>
      <c r="F146" s="95" t="s">
        <v>406</v>
      </c>
      <c r="G146" s="146">
        <v>45754</v>
      </c>
      <c r="H146" s="95" t="s">
        <v>28</v>
      </c>
      <c r="I146" s="97"/>
      <c r="J146" s="97">
        <v>80</v>
      </c>
      <c r="K146" s="97"/>
      <c r="L146" s="97">
        <v>50</v>
      </c>
      <c r="M146" s="97">
        <v>50</v>
      </c>
      <c r="N146" s="145">
        <f t="shared" si="5"/>
        <v>180</v>
      </c>
      <c r="O146" s="98">
        <v>244</v>
      </c>
      <c r="P146" s="95" t="s">
        <v>948</v>
      </c>
      <c r="Q146" s="79">
        <v>45755</v>
      </c>
      <c r="R146" s="1"/>
    </row>
    <row r="147" spans="1:18" ht="15.75" customHeight="1" x14ac:dyDescent="0.2">
      <c r="A147" s="2" t="s">
        <v>972</v>
      </c>
      <c r="B147" s="94" t="s">
        <v>967</v>
      </c>
      <c r="C147" s="95" t="s">
        <v>971</v>
      </c>
      <c r="D147" s="3" t="s">
        <v>26</v>
      </c>
      <c r="E147" s="95" t="s">
        <v>744</v>
      </c>
      <c r="F147" s="95" t="s">
        <v>406</v>
      </c>
      <c r="G147" s="101">
        <v>45757</v>
      </c>
      <c r="H147" s="95" t="s">
        <v>28</v>
      </c>
      <c r="I147" s="97"/>
      <c r="J147" s="97">
        <v>150</v>
      </c>
      <c r="K147" s="97"/>
      <c r="L147" s="97"/>
      <c r="M147" s="97"/>
      <c r="N147" s="145">
        <v>150</v>
      </c>
      <c r="O147" s="98">
        <v>150</v>
      </c>
      <c r="P147" s="95" t="s">
        <v>425</v>
      </c>
      <c r="Q147" s="79">
        <v>45757</v>
      </c>
      <c r="R147" s="1"/>
    </row>
    <row r="148" spans="1:18" s="199" customFormat="1" ht="15.75" customHeight="1" x14ac:dyDescent="0.2">
      <c r="A148" s="2" t="s">
        <v>697</v>
      </c>
      <c r="B148" s="94" t="s">
        <v>968</v>
      </c>
      <c r="C148" s="95" t="s">
        <v>973</v>
      </c>
      <c r="D148" s="3" t="s">
        <v>26</v>
      </c>
      <c r="E148" s="95" t="s">
        <v>413</v>
      </c>
      <c r="F148" s="95" t="s">
        <v>406</v>
      </c>
      <c r="G148" s="146">
        <v>45757</v>
      </c>
      <c r="H148" s="95" t="s">
        <v>28</v>
      </c>
      <c r="I148" s="97"/>
      <c r="J148" s="97">
        <v>80</v>
      </c>
      <c r="K148" s="97"/>
      <c r="L148" s="97">
        <v>50</v>
      </c>
      <c r="M148" s="97">
        <v>50</v>
      </c>
      <c r="N148" s="145">
        <f>SUM(I148:M148)</f>
        <v>180</v>
      </c>
      <c r="O148" s="98">
        <v>263.10000000000002</v>
      </c>
      <c r="P148" s="95" t="s">
        <v>948</v>
      </c>
      <c r="Q148" s="196">
        <v>45757</v>
      </c>
      <c r="R148" s="203">
        <f>O148-N148</f>
        <v>83.100000000000023</v>
      </c>
    </row>
    <row r="149" spans="1:18" ht="15.75" customHeight="1" x14ac:dyDescent="0.2">
      <c r="A149" s="2" t="s">
        <v>974</v>
      </c>
      <c r="B149" s="94" t="s">
        <v>969</v>
      </c>
      <c r="C149" s="95" t="s">
        <v>975</v>
      </c>
      <c r="D149" s="3" t="s">
        <v>26</v>
      </c>
      <c r="E149" s="95" t="s">
        <v>661</v>
      </c>
      <c r="F149" s="95" t="s">
        <v>406</v>
      </c>
      <c r="G149" s="146">
        <v>45758</v>
      </c>
      <c r="H149" s="95" t="s">
        <v>28</v>
      </c>
      <c r="I149" s="97">
        <v>180</v>
      </c>
      <c r="J149" s="97"/>
      <c r="K149" s="97"/>
      <c r="L149" s="97"/>
      <c r="M149" s="97"/>
      <c r="N149" s="145">
        <f>SUM(I149:M149)</f>
        <v>180</v>
      </c>
      <c r="O149" s="98">
        <v>90</v>
      </c>
      <c r="P149" s="95" t="s">
        <v>520</v>
      </c>
      <c r="Q149" s="79">
        <v>45758</v>
      </c>
      <c r="R149" s="1"/>
    </row>
    <row r="150" spans="1:18" ht="15.75" customHeight="1" x14ac:dyDescent="0.2">
      <c r="A150" s="2" t="s">
        <v>656</v>
      </c>
      <c r="B150" s="94" t="s">
        <v>970</v>
      </c>
      <c r="C150" s="95" t="s">
        <v>976</v>
      </c>
      <c r="D150" s="3" t="s">
        <v>26</v>
      </c>
      <c r="E150" s="95" t="s">
        <v>445</v>
      </c>
      <c r="F150" s="95" t="s">
        <v>406</v>
      </c>
      <c r="G150" s="101">
        <v>45758</v>
      </c>
      <c r="H150" s="95" t="s">
        <v>28</v>
      </c>
      <c r="I150" s="97">
        <v>150</v>
      </c>
      <c r="J150" s="97">
        <v>50</v>
      </c>
      <c r="K150" s="97">
        <v>50</v>
      </c>
      <c r="L150" s="97">
        <v>50</v>
      </c>
      <c r="M150" s="97"/>
      <c r="N150" s="145">
        <v>300</v>
      </c>
      <c r="O150" s="98">
        <v>213</v>
      </c>
      <c r="P150" s="95" t="s">
        <v>425</v>
      </c>
      <c r="Q150" s="79">
        <v>45769</v>
      </c>
      <c r="R150" s="1"/>
    </row>
    <row r="151" spans="1:18" ht="33.75" customHeight="1" x14ac:dyDescent="0.2">
      <c r="A151" s="57" t="s">
        <v>954</v>
      </c>
      <c r="B151" s="94" t="s">
        <v>984</v>
      </c>
      <c r="C151" s="95" t="s">
        <v>988</v>
      </c>
      <c r="D151" s="77" t="s">
        <v>26</v>
      </c>
      <c r="E151" s="95" t="s">
        <v>413</v>
      </c>
      <c r="F151" s="95" t="s">
        <v>406</v>
      </c>
      <c r="G151" s="101">
        <v>45758</v>
      </c>
      <c r="H151" s="95" t="s">
        <v>28</v>
      </c>
      <c r="I151" s="97"/>
      <c r="J151" s="97">
        <v>80</v>
      </c>
      <c r="K151" s="97"/>
      <c r="L151" s="97">
        <v>50</v>
      </c>
      <c r="M151" s="97">
        <v>50</v>
      </c>
      <c r="N151" s="145">
        <f t="shared" ref="N151:N158" si="6">SUM(I151:M151)</f>
        <v>180</v>
      </c>
      <c r="O151" s="103">
        <v>260</v>
      </c>
      <c r="P151" s="95" t="s">
        <v>948</v>
      </c>
      <c r="Q151" s="79">
        <v>45761</v>
      </c>
      <c r="R151" s="1"/>
    </row>
    <row r="152" spans="1:18" ht="35.25" customHeight="1" x14ac:dyDescent="0.2">
      <c r="A152" s="57" t="s">
        <v>993</v>
      </c>
      <c r="B152" s="94" t="s">
        <v>985</v>
      </c>
      <c r="C152" s="99" t="s">
        <v>992</v>
      </c>
      <c r="D152" s="77" t="s">
        <v>26</v>
      </c>
      <c r="E152" s="95" t="s">
        <v>436</v>
      </c>
      <c r="F152" s="95" t="s">
        <v>406</v>
      </c>
      <c r="G152" s="99" t="s">
        <v>994</v>
      </c>
      <c r="H152" s="95" t="s">
        <v>28</v>
      </c>
      <c r="I152" s="97"/>
      <c r="J152" s="97">
        <v>141.5</v>
      </c>
      <c r="K152" s="97"/>
      <c r="L152" s="97">
        <v>45</v>
      </c>
      <c r="M152" s="97"/>
      <c r="N152" s="145">
        <f t="shared" si="6"/>
        <v>186.5</v>
      </c>
      <c r="O152" s="98">
        <v>186.5</v>
      </c>
      <c r="P152" s="95" t="s">
        <v>632</v>
      </c>
      <c r="Q152" s="79">
        <v>45762</v>
      </c>
      <c r="R152" s="1"/>
    </row>
    <row r="153" spans="1:18" ht="15.75" customHeight="1" x14ac:dyDescent="0.2">
      <c r="A153" s="2" t="s">
        <v>418</v>
      </c>
      <c r="B153" s="94" t="s">
        <v>986</v>
      </c>
      <c r="C153" s="95" t="s">
        <v>995</v>
      </c>
      <c r="D153" s="77" t="s">
        <v>26</v>
      </c>
      <c r="E153" s="95" t="s">
        <v>413</v>
      </c>
      <c r="F153" s="95" t="s">
        <v>406</v>
      </c>
      <c r="G153" s="146">
        <v>45762</v>
      </c>
      <c r="H153" s="95" t="s">
        <v>28</v>
      </c>
      <c r="I153" s="97"/>
      <c r="J153" s="97">
        <v>50</v>
      </c>
      <c r="K153" s="97"/>
      <c r="L153" s="97">
        <v>50</v>
      </c>
      <c r="M153" s="97">
        <v>50</v>
      </c>
      <c r="N153" s="145">
        <f t="shared" si="6"/>
        <v>150</v>
      </c>
      <c r="O153" s="103">
        <v>150</v>
      </c>
      <c r="P153" s="95" t="s">
        <v>948</v>
      </c>
      <c r="Q153" s="79">
        <v>45761</v>
      </c>
      <c r="R153" s="1"/>
    </row>
    <row r="154" spans="1:18" ht="15.75" customHeight="1" x14ac:dyDescent="0.2">
      <c r="A154" s="2" t="s">
        <v>997</v>
      </c>
      <c r="B154" s="94" t="s">
        <v>987</v>
      </c>
      <c r="C154" s="95" t="s">
        <v>996</v>
      </c>
      <c r="D154" s="77" t="s">
        <v>26</v>
      </c>
      <c r="E154" s="95" t="s">
        <v>436</v>
      </c>
      <c r="F154" s="95" t="s">
        <v>406</v>
      </c>
      <c r="G154" s="95" t="s">
        <v>998</v>
      </c>
      <c r="H154" s="95" t="s">
        <v>28</v>
      </c>
      <c r="I154" s="97"/>
      <c r="J154" s="97">
        <v>40</v>
      </c>
      <c r="K154" s="97"/>
      <c r="L154" s="97">
        <v>55</v>
      </c>
      <c r="M154" s="97"/>
      <c r="N154" s="145">
        <f t="shared" si="6"/>
        <v>95</v>
      </c>
      <c r="O154" s="98">
        <v>235</v>
      </c>
      <c r="P154" s="95" t="s">
        <v>417</v>
      </c>
      <c r="Q154" s="79">
        <v>45765</v>
      </c>
      <c r="R154" s="1"/>
    </row>
    <row r="155" spans="1:18" ht="15.75" customHeight="1" x14ac:dyDescent="0.2">
      <c r="A155" s="2" t="s">
        <v>418</v>
      </c>
      <c r="B155" s="94" t="s">
        <v>999</v>
      </c>
      <c r="C155" s="95" t="s">
        <v>1002</v>
      </c>
      <c r="D155" s="77" t="s">
        <v>26</v>
      </c>
      <c r="E155" s="95" t="s">
        <v>413</v>
      </c>
      <c r="F155" s="95" t="s">
        <v>406</v>
      </c>
      <c r="G155" s="146">
        <v>45762</v>
      </c>
      <c r="H155" s="95" t="s">
        <v>28</v>
      </c>
      <c r="I155" s="97"/>
      <c r="J155" s="97">
        <v>50</v>
      </c>
      <c r="K155" s="97"/>
      <c r="L155" s="97">
        <v>50</v>
      </c>
      <c r="M155" s="97">
        <v>50</v>
      </c>
      <c r="N155" s="145">
        <f t="shared" si="6"/>
        <v>150</v>
      </c>
      <c r="O155" s="98">
        <v>150</v>
      </c>
      <c r="P155" s="95" t="s">
        <v>948</v>
      </c>
      <c r="Q155" s="79">
        <v>45769</v>
      </c>
      <c r="R155" s="1"/>
    </row>
    <row r="156" spans="1:18" ht="33" customHeight="1" x14ac:dyDescent="0.2">
      <c r="A156" s="2" t="s">
        <v>1003</v>
      </c>
      <c r="B156" s="94" t="s">
        <v>1000</v>
      </c>
      <c r="C156" s="95" t="s">
        <v>870</v>
      </c>
      <c r="D156" s="3" t="s">
        <v>26</v>
      </c>
      <c r="E156" s="95" t="s">
        <v>413</v>
      </c>
      <c r="F156" s="95" t="s">
        <v>461</v>
      </c>
      <c r="G156" s="99" t="s">
        <v>1004</v>
      </c>
      <c r="H156" s="95" t="s">
        <v>28</v>
      </c>
      <c r="I156" s="97"/>
      <c r="J156" s="97">
        <v>100</v>
      </c>
      <c r="K156" s="97"/>
      <c r="L156" s="97">
        <v>90</v>
      </c>
      <c r="M156" s="97"/>
      <c r="N156" s="145">
        <f t="shared" si="6"/>
        <v>190</v>
      </c>
      <c r="O156" s="98">
        <v>400</v>
      </c>
      <c r="P156" s="95" t="s">
        <v>948</v>
      </c>
      <c r="Q156" s="79">
        <v>45769</v>
      </c>
      <c r="R156" s="1"/>
    </row>
    <row r="157" spans="1:18" ht="15.75" customHeight="1" x14ac:dyDescent="0.2">
      <c r="A157" s="2" t="s">
        <v>1003</v>
      </c>
      <c r="B157" s="94" t="s">
        <v>1001</v>
      </c>
      <c r="C157" s="95" t="s">
        <v>870</v>
      </c>
      <c r="D157" s="3" t="s">
        <v>26</v>
      </c>
      <c r="E157" s="95" t="s">
        <v>413</v>
      </c>
      <c r="F157" s="95" t="s">
        <v>461</v>
      </c>
      <c r="G157" s="101">
        <v>45764</v>
      </c>
      <c r="H157" s="95" t="s">
        <v>28</v>
      </c>
      <c r="I157" s="97"/>
      <c r="J157" s="97">
        <v>80</v>
      </c>
      <c r="K157" s="97"/>
      <c r="L157" s="97">
        <v>50</v>
      </c>
      <c r="M157" s="97"/>
      <c r="N157" s="145">
        <f t="shared" si="6"/>
        <v>130</v>
      </c>
      <c r="O157" s="98">
        <v>220</v>
      </c>
      <c r="P157" s="95" t="s">
        <v>948</v>
      </c>
      <c r="Q157" s="79">
        <v>45770</v>
      </c>
      <c r="R157" s="1"/>
    </row>
    <row r="158" spans="1:18" ht="15.75" customHeight="1" x14ac:dyDescent="0.2">
      <c r="A158" s="2" t="s">
        <v>462</v>
      </c>
      <c r="B158" s="94" t="s">
        <v>1018</v>
      </c>
      <c r="C158" s="95" t="s">
        <v>1022</v>
      </c>
      <c r="D158" s="3" t="s">
        <v>26</v>
      </c>
      <c r="E158" s="95" t="s">
        <v>458</v>
      </c>
      <c r="F158" s="95" t="s">
        <v>406</v>
      </c>
      <c r="G158" s="101">
        <v>45769</v>
      </c>
      <c r="H158" s="95" t="s">
        <v>28</v>
      </c>
      <c r="I158" s="97">
        <v>200</v>
      </c>
      <c r="J158" s="97">
        <v>50</v>
      </c>
      <c r="K158" s="97">
        <v>50</v>
      </c>
      <c r="L158" s="97">
        <v>50</v>
      </c>
      <c r="M158" s="97"/>
      <c r="N158" s="145">
        <f t="shared" si="6"/>
        <v>350</v>
      </c>
      <c r="O158" s="98">
        <v>264</v>
      </c>
      <c r="P158" s="95" t="s">
        <v>632</v>
      </c>
      <c r="Q158" s="79">
        <v>45770</v>
      </c>
      <c r="R158" s="1"/>
    </row>
    <row r="159" spans="1:18" ht="15.75" customHeight="1" x14ac:dyDescent="0.2">
      <c r="A159" s="57" t="s">
        <v>1024</v>
      </c>
      <c r="B159" s="94" t="s">
        <v>1019</v>
      </c>
      <c r="C159" s="95" t="s">
        <v>1023</v>
      </c>
      <c r="D159" s="3" t="s">
        <v>26</v>
      </c>
      <c r="E159" s="95" t="s">
        <v>876</v>
      </c>
      <c r="F159" s="95" t="s">
        <v>406</v>
      </c>
      <c r="G159" s="95"/>
      <c r="H159" s="95" t="s">
        <v>28</v>
      </c>
      <c r="I159" s="97"/>
      <c r="J159" s="97"/>
      <c r="K159" s="97"/>
      <c r="L159" s="97">
        <v>85</v>
      </c>
      <c r="M159" s="97"/>
      <c r="N159" s="145">
        <v>155</v>
      </c>
      <c r="O159" s="98">
        <v>155</v>
      </c>
      <c r="P159" s="95" t="s">
        <v>520</v>
      </c>
      <c r="Q159" s="79">
        <v>45775</v>
      </c>
      <c r="R159" s="1"/>
    </row>
    <row r="160" spans="1:18" ht="33.75" customHeight="1" x14ac:dyDescent="0.2">
      <c r="A160" s="57" t="s">
        <v>1027</v>
      </c>
      <c r="B160" s="94" t="s">
        <v>1020</v>
      </c>
      <c r="C160" s="95" t="s">
        <v>955</v>
      </c>
      <c r="D160" s="77" t="s">
        <v>26</v>
      </c>
      <c r="E160" s="95" t="s">
        <v>413</v>
      </c>
      <c r="F160" s="95" t="s">
        <v>461</v>
      </c>
      <c r="G160" s="95" t="s">
        <v>1028</v>
      </c>
      <c r="H160" s="95" t="s">
        <v>28</v>
      </c>
      <c r="I160" s="97"/>
      <c r="J160" s="97">
        <v>200</v>
      </c>
      <c r="K160" s="97"/>
      <c r="L160" s="97">
        <v>80</v>
      </c>
      <c r="M160" s="97"/>
      <c r="N160" s="145">
        <f>SUM(I160:M160)</f>
        <v>280</v>
      </c>
      <c r="O160" s="98">
        <v>313</v>
      </c>
      <c r="P160" s="95" t="s">
        <v>948</v>
      </c>
      <c r="Q160" s="79">
        <v>45775</v>
      </c>
      <c r="R160" s="1"/>
    </row>
    <row r="161" spans="1:18" ht="33" customHeight="1" x14ac:dyDescent="0.2">
      <c r="A161" s="2" t="s">
        <v>1025</v>
      </c>
      <c r="B161" s="94" t="s">
        <v>1021</v>
      </c>
      <c r="C161" s="99" t="s">
        <v>1026</v>
      </c>
      <c r="D161" s="77" t="s">
        <v>26</v>
      </c>
      <c r="E161" s="95" t="s">
        <v>445</v>
      </c>
      <c r="F161" s="95" t="s">
        <v>406</v>
      </c>
      <c r="G161" s="101">
        <v>45762</v>
      </c>
      <c r="H161" s="95" t="s">
        <v>28</v>
      </c>
      <c r="I161" s="97"/>
      <c r="J161" s="97"/>
      <c r="K161" s="97"/>
      <c r="L161" s="97">
        <v>40</v>
      </c>
      <c r="M161" s="97"/>
      <c r="N161" s="145">
        <f>SUM(I161:M161)</f>
        <v>40</v>
      </c>
      <c r="O161" s="98">
        <v>110</v>
      </c>
      <c r="P161" s="95" t="s">
        <v>520</v>
      </c>
      <c r="Q161" s="79">
        <v>45776</v>
      </c>
      <c r="R161" s="1"/>
    </row>
    <row r="162" spans="1:18" ht="15.75" customHeight="1" x14ac:dyDescent="0.2">
      <c r="A162" s="2" t="s">
        <v>1032</v>
      </c>
      <c r="B162" s="94" t="s">
        <v>1029</v>
      </c>
      <c r="C162" s="95" t="s">
        <v>1033</v>
      </c>
      <c r="D162" s="3" t="s">
        <v>26</v>
      </c>
      <c r="E162" s="95" t="s">
        <v>661</v>
      </c>
      <c r="F162" s="95" t="s">
        <v>406</v>
      </c>
      <c r="G162" s="101">
        <v>45776</v>
      </c>
      <c r="H162" s="95" t="s">
        <v>28</v>
      </c>
      <c r="I162" s="97">
        <v>190</v>
      </c>
      <c r="J162" s="97"/>
      <c r="K162" s="97"/>
      <c r="L162" s="97"/>
      <c r="M162" s="97"/>
      <c r="N162" s="145">
        <f>SUM(I162:M162)</f>
        <v>190</v>
      </c>
      <c r="O162" s="98">
        <v>171.6</v>
      </c>
      <c r="P162" s="95" t="s">
        <v>520</v>
      </c>
      <c r="Q162" s="79">
        <v>45776</v>
      </c>
      <c r="R162" s="1"/>
    </row>
    <row r="163" spans="1:18" ht="112.5" customHeight="1" x14ac:dyDescent="0.2">
      <c r="A163" s="57" t="s">
        <v>1034</v>
      </c>
      <c r="B163" s="94" t="s">
        <v>1030</v>
      </c>
      <c r="C163" s="99" t="s">
        <v>1035</v>
      </c>
      <c r="D163" s="77" t="s">
        <v>1356</v>
      </c>
      <c r="E163" s="95" t="s">
        <v>436</v>
      </c>
      <c r="F163" s="95" t="s">
        <v>406</v>
      </c>
      <c r="G163" s="99" t="s">
        <v>1036</v>
      </c>
      <c r="H163" s="95" t="s">
        <v>28</v>
      </c>
      <c r="I163" s="97">
        <v>33</v>
      </c>
      <c r="J163" s="97"/>
      <c r="K163" s="97"/>
      <c r="L163" s="97">
        <v>117</v>
      </c>
      <c r="M163" s="97"/>
      <c r="N163" s="145">
        <v>150</v>
      </c>
      <c r="O163" s="98">
        <v>150</v>
      </c>
      <c r="P163" s="95" t="s">
        <v>425</v>
      </c>
      <c r="Q163" s="3"/>
      <c r="R163" s="1"/>
    </row>
    <row r="164" spans="1:18" ht="33.75" customHeight="1" x14ac:dyDescent="0.2">
      <c r="A164" s="2" t="s">
        <v>531</v>
      </c>
      <c r="B164" s="94" t="s">
        <v>1031</v>
      </c>
      <c r="C164" s="99" t="s">
        <v>1037</v>
      </c>
      <c r="D164" s="77" t="s">
        <v>26</v>
      </c>
      <c r="E164" s="95" t="s">
        <v>445</v>
      </c>
      <c r="F164" s="95" t="s">
        <v>406</v>
      </c>
      <c r="G164" s="101">
        <v>45780</v>
      </c>
      <c r="H164" s="95" t="s">
        <v>32</v>
      </c>
      <c r="I164" s="97"/>
      <c r="J164" s="97"/>
      <c r="K164" s="97"/>
      <c r="L164" s="97"/>
      <c r="M164" s="97"/>
      <c r="N164" s="145">
        <v>400</v>
      </c>
      <c r="O164" s="98">
        <v>197</v>
      </c>
      <c r="P164" s="95" t="s">
        <v>425</v>
      </c>
      <c r="Q164" s="79">
        <v>45783</v>
      </c>
      <c r="R164" s="1"/>
    </row>
    <row r="165" spans="1:18" ht="15.75" customHeight="1" x14ac:dyDescent="0.2">
      <c r="A165" s="2" t="s">
        <v>1039</v>
      </c>
      <c r="B165" s="94" t="s">
        <v>1040</v>
      </c>
      <c r="C165" s="95" t="s">
        <v>1038</v>
      </c>
      <c r="D165" s="77" t="s">
        <v>26</v>
      </c>
      <c r="E165" s="95" t="s">
        <v>413</v>
      </c>
      <c r="F165" s="95" t="s">
        <v>461</v>
      </c>
      <c r="G165" s="101" t="s">
        <v>1050</v>
      </c>
      <c r="H165" s="95" t="s">
        <v>32</v>
      </c>
      <c r="I165" s="97"/>
      <c r="J165" s="97">
        <v>160</v>
      </c>
      <c r="K165" s="97"/>
      <c r="L165" s="97">
        <v>100</v>
      </c>
      <c r="M165" s="97"/>
      <c r="N165" s="145">
        <f>SUM(I165:M165)</f>
        <v>260</v>
      </c>
      <c r="O165" s="98">
        <v>400</v>
      </c>
      <c r="P165" s="95" t="s">
        <v>948</v>
      </c>
      <c r="Q165" s="79">
        <v>45790</v>
      </c>
      <c r="R165" s="1"/>
    </row>
    <row r="166" spans="1:18" ht="15.75" customHeight="1" x14ac:dyDescent="0.2">
      <c r="A166" s="2" t="s">
        <v>1047</v>
      </c>
      <c r="B166" s="94" t="s">
        <v>1041</v>
      </c>
      <c r="C166" s="95" t="s">
        <v>973</v>
      </c>
      <c r="D166" s="3" t="s">
        <v>26</v>
      </c>
      <c r="E166" s="95" t="s">
        <v>413</v>
      </c>
      <c r="F166" s="95" t="s">
        <v>461</v>
      </c>
      <c r="G166" s="95" t="s">
        <v>1048</v>
      </c>
      <c r="H166" s="95" t="s">
        <v>32</v>
      </c>
      <c r="I166" s="97"/>
      <c r="J166" s="97">
        <v>110</v>
      </c>
      <c r="K166" s="97"/>
      <c r="L166" s="97">
        <v>100</v>
      </c>
      <c r="M166" s="97"/>
      <c r="N166" s="145">
        <f>SUM(J166:M166)</f>
        <v>210</v>
      </c>
      <c r="O166" s="98">
        <v>350</v>
      </c>
      <c r="P166" s="95" t="s">
        <v>948</v>
      </c>
      <c r="Q166" s="79">
        <v>45783</v>
      </c>
      <c r="R166" s="1"/>
    </row>
    <row r="167" spans="1:18" ht="15.75" customHeight="1" x14ac:dyDescent="0.2">
      <c r="A167" s="2" t="s">
        <v>1039</v>
      </c>
      <c r="B167" s="94" t="s">
        <v>1042</v>
      </c>
      <c r="C167" s="95" t="s">
        <v>1049</v>
      </c>
      <c r="D167" s="77" t="s">
        <v>26</v>
      </c>
      <c r="E167" s="95" t="s">
        <v>413</v>
      </c>
      <c r="F167" s="95" t="s">
        <v>461</v>
      </c>
      <c r="G167" s="95" t="s">
        <v>1051</v>
      </c>
      <c r="H167" s="95" t="s">
        <v>32</v>
      </c>
      <c r="I167" s="97"/>
      <c r="J167" s="97">
        <v>100</v>
      </c>
      <c r="K167" s="97"/>
      <c r="L167" s="97">
        <v>100</v>
      </c>
      <c r="M167" s="97"/>
      <c r="N167" s="145">
        <v>200</v>
      </c>
      <c r="O167" s="98">
        <v>181</v>
      </c>
      <c r="P167" s="95" t="s">
        <v>948</v>
      </c>
      <c r="Q167" s="79">
        <v>45786</v>
      </c>
      <c r="R167" s="1"/>
    </row>
    <row r="168" spans="1:18" ht="28.5" customHeight="1" x14ac:dyDescent="0.2">
      <c r="A168" s="57" t="s">
        <v>1053</v>
      </c>
      <c r="B168" s="94" t="s">
        <v>1043</v>
      </c>
      <c r="C168" s="95" t="s">
        <v>1052</v>
      </c>
      <c r="D168" s="77" t="s">
        <v>26</v>
      </c>
      <c r="E168" s="95" t="s">
        <v>413</v>
      </c>
      <c r="F168" s="95" t="s">
        <v>461</v>
      </c>
      <c r="G168" s="95" t="s">
        <v>1051</v>
      </c>
      <c r="H168" s="95" t="s">
        <v>32</v>
      </c>
      <c r="I168" s="97"/>
      <c r="J168" s="97">
        <v>100</v>
      </c>
      <c r="K168" s="97"/>
      <c r="L168" s="97">
        <v>60</v>
      </c>
      <c r="M168" s="97"/>
      <c r="N168" s="145">
        <f>SUM(J168:M168)</f>
        <v>160</v>
      </c>
      <c r="O168" s="98">
        <v>275</v>
      </c>
      <c r="P168" s="95" t="s">
        <v>948</v>
      </c>
      <c r="Q168" s="79">
        <v>45790</v>
      </c>
      <c r="R168" s="1"/>
    </row>
    <row r="169" spans="1:18" ht="15.75" customHeight="1" x14ac:dyDescent="0.2">
      <c r="A169" s="202" t="s">
        <v>1054</v>
      </c>
      <c r="B169" s="94" t="s">
        <v>1044</v>
      </c>
      <c r="C169" s="141" t="s">
        <v>1055</v>
      </c>
      <c r="D169" s="77" t="s">
        <v>26</v>
      </c>
      <c r="E169" s="139"/>
      <c r="F169" s="139"/>
      <c r="G169" s="139"/>
      <c r="H169" s="95" t="s">
        <v>32</v>
      </c>
      <c r="I169" s="139"/>
      <c r="J169" s="139"/>
      <c r="K169" s="139"/>
      <c r="L169" s="139"/>
      <c r="M169" s="139"/>
      <c r="N169" s="145">
        <v>150</v>
      </c>
      <c r="O169" s="206">
        <v>115</v>
      </c>
      <c r="P169" s="95" t="s">
        <v>948</v>
      </c>
      <c r="Q169" s="79">
        <v>45790</v>
      </c>
      <c r="R169" s="1"/>
    </row>
    <row r="170" spans="1:18" ht="15.75" customHeight="1" x14ac:dyDescent="0.2">
      <c r="A170" s="2" t="s">
        <v>1039</v>
      </c>
      <c r="B170" s="94" t="s">
        <v>1045</v>
      </c>
      <c r="C170" s="95" t="s">
        <v>1038</v>
      </c>
      <c r="D170" s="77" t="s">
        <v>26</v>
      </c>
      <c r="E170" s="95" t="s">
        <v>413</v>
      </c>
      <c r="F170" s="95" t="s">
        <v>461</v>
      </c>
      <c r="G170" s="101">
        <v>45790</v>
      </c>
      <c r="H170" s="95" t="s">
        <v>32</v>
      </c>
      <c r="I170" s="97"/>
      <c r="J170" s="97">
        <v>50</v>
      </c>
      <c r="K170" s="97"/>
      <c r="L170" s="97">
        <v>50</v>
      </c>
      <c r="M170" s="97"/>
      <c r="N170" s="145">
        <v>100</v>
      </c>
      <c r="O170" s="98">
        <v>100</v>
      </c>
      <c r="P170" s="95" t="s">
        <v>948</v>
      </c>
      <c r="Q170" s="79">
        <v>45793</v>
      </c>
      <c r="R170" s="1"/>
    </row>
    <row r="171" spans="1:18" ht="15.75" customHeight="1" x14ac:dyDescent="0.2">
      <c r="A171" s="57" t="s">
        <v>1095</v>
      </c>
      <c r="B171" s="94" t="s">
        <v>1046</v>
      </c>
      <c r="C171" s="95" t="s">
        <v>1056</v>
      </c>
      <c r="D171" s="77" t="s">
        <v>26</v>
      </c>
      <c r="E171" s="95" t="s">
        <v>661</v>
      </c>
      <c r="F171" s="95" t="s">
        <v>406</v>
      </c>
      <c r="G171" s="101">
        <v>45792</v>
      </c>
      <c r="H171" s="95" t="s">
        <v>32</v>
      </c>
      <c r="I171" s="97"/>
      <c r="J171" s="97"/>
      <c r="K171" s="97"/>
      <c r="L171" s="97"/>
      <c r="M171" s="97"/>
      <c r="N171" s="145">
        <v>190</v>
      </c>
      <c r="O171" s="98"/>
      <c r="P171" s="95" t="s">
        <v>520</v>
      </c>
      <c r="Q171" s="79">
        <v>45794</v>
      </c>
      <c r="R171" s="1"/>
    </row>
    <row r="172" spans="1:18" ht="15.75" customHeight="1" x14ac:dyDescent="0.2">
      <c r="A172" s="2" t="s">
        <v>1057</v>
      </c>
      <c r="B172" s="94" t="s">
        <v>1058</v>
      </c>
      <c r="C172" s="95"/>
      <c r="D172" s="3" t="s">
        <v>435</v>
      </c>
      <c r="E172" s="95"/>
      <c r="F172" s="95"/>
      <c r="G172" s="95"/>
      <c r="H172" s="95" t="s">
        <v>32</v>
      </c>
      <c r="I172" s="97">
        <v>360</v>
      </c>
      <c r="J172" s="97">
        <v>120</v>
      </c>
      <c r="K172" s="97"/>
      <c r="L172" s="97">
        <v>120</v>
      </c>
      <c r="M172" s="97">
        <v>140</v>
      </c>
      <c r="N172" s="145">
        <f>SUM(I172:M172)</f>
        <v>740</v>
      </c>
      <c r="O172" s="103">
        <v>768.8</v>
      </c>
      <c r="P172" s="95" t="s">
        <v>948</v>
      </c>
      <c r="Q172" s="79">
        <v>45798</v>
      </c>
      <c r="R172" s="1"/>
    </row>
    <row r="173" spans="1:18" ht="15.75" customHeight="1" x14ac:dyDescent="0.2">
      <c r="A173" s="2" t="s">
        <v>1047</v>
      </c>
      <c r="B173" s="94" t="s">
        <v>1059</v>
      </c>
      <c r="C173" s="95" t="s">
        <v>1062</v>
      </c>
      <c r="D173" s="3" t="s">
        <v>26</v>
      </c>
      <c r="E173" s="95" t="s">
        <v>413</v>
      </c>
      <c r="F173" s="95" t="s">
        <v>406</v>
      </c>
      <c r="G173" s="101">
        <v>45796</v>
      </c>
      <c r="H173" s="95" t="s">
        <v>32</v>
      </c>
      <c r="I173" s="97"/>
      <c r="J173" s="97">
        <v>50</v>
      </c>
      <c r="K173" s="97"/>
      <c r="L173" s="97">
        <v>50</v>
      </c>
      <c r="M173" s="97"/>
      <c r="N173" s="145">
        <v>280</v>
      </c>
      <c r="O173" s="103"/>
      <c r="P173" s="95" t="s">
        <v>948</v>
      </c>
      <c r="Q173" s="79">
        <v>45798</v>
      </c>
      <c r="R173" s="1"/>
    </row>
    <row r="174" spans="1:18" ht="30.75" customHeight="1" x14ac:dyDescent="0.2">
      <c r="A174" s="2" t="s">
        <v>800</v>
      </c>
      <c r="B174" s="94" t="s">
        <v>1060</v>
      </c>
      <c r="C174" s="99" t="s">
        <v>1063</v>
      </c>
      <c r="D174" s="77" t="s">
        <v>26</v>
      </c>
      <c r="E174" s="95" t="s">
        <v>445</v>
      </c>
      <c r="F174" s="95" t="s">
        <v>406</v>
      </c>
      <c r="G174" s="101">
        <v>45793</v>
      </c>
      <c r="H174" s="95" t="s">
        <v>32</v>
      </c>
      <c r="I174" s="97"/>
      <c r="J174" s="97"/>
      <c r="K174" s="97"/>
      <c r="L174" s="97">
        <v>61</v>
      </c>
      <c r="M174" s="97"/>
      <c r="N174" s="145">
        <v>131</v>
      </c>
      <c r="O174" s="98"/>
      <c r="P174" s="95" t="s">
        <v>466</v>
      </c>
      <c r="Q174" s="79">
        <v>45798</v>
      </c>
      <c r="R174" s="1"/>
    </row>
    <row r="175" spans="1:18" ht="30.75" customHeight="1" x14ac:dyDescent="0.2">
      <c r="A175" s="57" t="s">
        <v>1064</v>
      </c>
      <c r="B175" s="211" t="s">
        <v>1061</v>
      </c>
      <c r="C175" s="212" t="s">
        <v>1066</v>
      </c>
      <c r="D175" s="236" t="s">
        <v>1356</v>
      </c>
      <c r="E175" s="134" t="s">
        <v>436</v>
      </c>
      <c r="F175" s="134" t="s">
        <v>406</v>
      </c>
      <c r="G175" s="212" t="s">
        <v>1065</v>
      </c>
      <c r="H175" s="134" t="s">
        <v>32</v>
      </c>
      <c r="I175" s="135"/>
      <c r="J175" s="135"/>
      <c r="K175" s="135"/>
      <c r="L175" s="135"/>
      <c r="M175" s="135"/>
      <c r="N175" s="213">
        <v>62</v>
      </c>
      <c r="O175" s="214"/>
      <c r="P175" s="134" t="s">
        <v>429</v>
      </c>
      <c r="Q175" s="244">
        <v>45797</v>
      </c>
      <c r="R175" s="1"/>
    </row>
    <row r="176" spans="1:18" ht="15.75" customHeight="1" x14ac:dyDescent="0.25">
      <c r="A176" s="207" t="s">
        <v>1069</v>
      </c>
      <c r="B176" s="217" t="s">
        <v>1070</v>
      </c>
      <c r="C176" s="218" t="s">
        <v>1075</v>
      </c>
      <c r="D176" s="240" t="s">
        <v>26</v>
      </c>
      <c r="E176" s="218" t="s">
        <v>413</v>
      </c>
      <c r="F176" s="218" t="s">
        <v>406</v>
      </c>
      <c r="G176" s="220">
        <v>45799</v>
      </c>
      <c r="H176" s="218" t="s">
        <v>32</v>
      </c>
      <c r="I176" s="143"/>
      <c r="J176" s="143">
        <v>40</v>
      </c>
      <c r="K176" s="143"/>
      <c r="L176" s="143">
        <v>40</v>
      </c>
      <c r="M176" s="143"/>
      <c r="N176" s="219">
        <f>SUM(I176:M176)</f>
        <v>80</v>
      </c>
      <c r="O176" s="221">
        <v>160</v>
      </c>
      <c r="P176" s="218" t="s">
        <v>948</v>
      </c>
      <c r="Q176" s="210">
        <v>45800</v>
      </c>
      <c r="R176" s="1"/>
    </row>
    <row r="177" spans="1:18" ht="15.75" customHeight="1" x14ac:dyDescent="0.25">
      <c r="A177" s="207" t="s">
        <v>1032</v>
      </c>
      <c r="B177" s="217" t="s">
        <v>1071</v>
      </c>
      <c r="C177" s="218" t="s">
        <v>1094</v>
      </c>
      <c r="D177" s="237" t="s">
        <v>26</v>
      </c>
      <c r="E177" s="218" t="s">
        <v>661</v>
      </c>
      <c r="F177" s="140"/>
      <c r="G177" s="140"/>
      <c r="H177" s="218" t="s">
        <v>32</v>
      </c>
      <c r="I177" s="140"/>
      <c r="J177" s="140"/>
      <c r="K177" s="140"/>
      <c r="L177" s="140"/>
      <c r="M177" s="140"/>
      <c r="N177" s="219">
        <v>190</v>
      </c>
      <c r="O177" s="219">
        <v>170</v>
      </c>
      <c r="P177" s="218" t="s">
        <v>520</v>
      </c>
      <c r="Q177" s="210">
        <v>45800</v>
      </c>
      <c r="R177" s="1"/>
    </row>
    <row r="178" spans="1:18" ht="15.75" customHeight="1" x14ac:dyDescent="0.2">
      <c r="A178" s="207" t="s">
        <v>1078</v>
      </c>
      <c r="B178" s="217" t="s">
        <v>1072</v>
      </c>
      <c r="C178" s="218" t="s">
        <v>1076</v>
      </c>
      <c r="D178" s="237" t="s">
        <v>26</v>
      </c>
      <c r="E178" s="218" t="s">
        <v>1077</v>
      </c>
      <c r="F178" s="218" t="s">
        <v>406</v>
      </c>
      <c r="G178" s="220">
        <v>45799</v>
      </c>
      <c r="H178" s="218" t="s">
        <v>32</v>
      </c>
      <c r="I178" s="143"/>
      <c r="J178" s="143">
        <v>129.5</v>
      </c>
      <c r="K178" s="143"/>
      <c r="L178" s="143">
        <v>99</v>
      </c>
      <c r="M178" s="143"/>
      <c r="N178" s="219">
        <f>SUM(J178:M178)</f>
        <v>228.5</v>
      </c>
      <c r="O178" s="139">
        <v>189.5</v>
      </c>
      <c r="P178" s="218" t="s">
        <v>425</v>
      </c>
      <c r="Q178" s="209">
        <v>45805</v>
      </c>
      <c r="R178" s="1"/>
    </row>
    <row r="179" spans="1:18" ht="31.5" customHeight="1" x14ac:dyDescent="0.2">
      <c r="A179" s="207" t="s">
        <v>1080</v>
      </c>
      <c r="B179" s="217" t="s">
        <v>1073</v>
      </c>
      <c r="C179" s="218" t="s">
        <v>1083</v>
      </c>
      <c r="D179" s="237" t="s">
        <v>26</v>
      </c>
      <c r="E179" s="218" t="s">
        <v>1079</v>
      </c>
      <c r="F179" s="218" t="s">
        <v>406</v>
      </c>
      <c r="G179" s="220">
        <v>45800</v>
      </c>
      <c r="H179" s="218" t="s">
        <v>32</v>
      </c>
      <c r="I179" s="143"/>
      <c r="J179" s="143">
        <v>50</v>
      </c>
      <c r="K179" s="143"/>
      <c r="L179" s="143">
        <v>50</v>
      </c>
      <c r="M179" s="143"/>
      <c r="N179" s="219">
        <f>SUM(J179:M179)</f>
        <v>100</v>
      </c>
      <c r="O179" s="221">
        <v>61</v>
      </c>
      <c r="P179" s="218" t="s">
        <v>948</v>
      </c>
      <c r="Q179" s="209">
        <v>45805</v>
      </c>
      <c r="R179" s="1"/>
    </row>
    <row r="180" spans="1:18" ht="15.75" customHeight="1" x14ac:dyDescent="0.2">
      <c r="A180" s="208" t="s">
        <v>1082</v>
      </c>
      <c r="B180" s="217" t="s">
        <v>1074</v>
      </c>
      <c r="C180" s="218" t="s">
        <v>1081</v>
      </c>
      <c r="D180" s="240" t="s">
        <v>26</v>
      </c>
      <c r="E180" s="218" t="s">
        <v>449</v>
      </c>
      <c r="F180" s="218" t="s">
        <v>406</v>
      </c>
      <c r="G180" s="220">
        <v>45803</v>
      </c>
      <c r="H180" s="218" t="s">
        <v>32</v>
      </c>
      <c r="I180" s="143"/>
      <c r="J180" s="143">
        <v>90</v>
      </c>
      <c r="K180" s="143"/>
      <c r="L180" s="143"/>
      <c r="M180" s="143"/>
      <c r="N180" s="219">
        <f>SUM(J180:M180)</f>
        <v>90</v>
      </c>
      <c r="O180" s="221">
        <v>256</v>
      </c>
      <c r="P180" s="218" t="s">
        <v>948</v>
      </c>
      <c r="Q180" s="209">
        <v>45805</v>
      </c>
      <c r="R180" s="1"/>
    </row>
    <row r="181" spans="1:18" ht="15.75" customHeight="1" x14ac:dyDescent="0.2">
      <c r="A181" s="207" t="s">
        <v>1092</v>
      </c>
      <c r="B181" s="217" t="s">
        <v>1087</v>
      </c>
      <c r="C181" s="218" t="s">
        <v>1086</v>
      </c>
      <c r="D181" s="237" t="s">
        <v>26</v>
      </c>
      <c r="E181" s="218" t="s">
        <v>1084</v>
      </c>
      <c r="F181" s="218" t="s">
        <v>406</v>
      </c>
      <c r="G181" s="218" t="s">
        <v>1085</v>
      </c>
      <c r="H181" s="218" t="s">
        <v>32</v>
      </c>
      <c r="I181" s="143"/>
      <c r="J181" s="143">
        <v>76</v>
      </c>
      <c r="K181" s="143"/>
      <c r="L181" s="143">
        <v>14</v>
      </c>
      <c r="M181" s="143"/>
      <c r="N181" s="219">
        <f>SUM(J181:M181)</f>
        <v>90</v>
      </c>
      <c r="O181" s="221">
        <v>90</v>
      </c>
      <c r="P181" s="218" t="s">
        <v>1091</v>
      </c>
      <c r="Q181" s="209">
        <v>45805</v>
      </c>
      <c r="R181" s="1"/>
    </row>
    <row r="182" spans="1:18" ht="32.25" customHeight="1" x14ac:dyDescent="0.2">
      <c r="A182" s="208" t="s">
        <v>1099</v>
      </c>
      <c r="B182" s="217" t="s">
        <v>1088</v>
      </c>
      <c r="C182" s="218" t="s">
        <v>1093</v>
      </c>
      <c r="D182" s="240" t="s">
        <v>26</v>
      </c>
      <c r="E182" s="218" t="s">
        <v>413</v>
      </c>
      <c r="F182" s="218" t="s">
        <v>406</v>
      </c>
      <c r="G182" s="220">
        <v>45804</v>
      </c>
      <c r="H182" s="218" t="s">
        <v>32</v>
      </c>
      <c r="I182" s="143">
        <v>100</v>
      </c>
      <c r="J182" s="143"/>
      <c r="K182" s="143"/>
      <c r="L182" s="143"/>
      <c r="M182" s="143"/>
      <c r="N182" s="219">
        <f t="shared" ref="N182:N192" si="7">SUM(I182:M182)</f>
        <v>100</v>
      </c>
      <c r="O182" s="221">
        <v>83.7</v>
      </c>
      <c r="P182" s="218" t="s">
        <v>520</v>
      </c>
      <c r="Q182" s="209">
        <v>45805</v>
      </c>
      <c r="R182" s="1"/>
    </row>
    <row r="183" spans="1:18" ht="33.75" customHeight="1" x14ac:dyDescent="0.2">
      <c r="A183" s="57" t="s">
        <v>1098</v>
      </c>
      <c r="B183" s="222" t="s">
        <v>1089</v>
      </c>
      <c r="C183" s="223" t="s">
        <v>1096</v>
      </c>
      <c r="D183" s="238" t="s">
        <v>33</v>
      </c>
      <c r="E183" s="224" t="s">
        <v>436</v>
      </c>
      <c r="F183" s="224" t="s">
        <v>406</v>
      </c>
      <c r="G183" s="225" t="s">
        <v>1097</v>
      </c>
      <c r="H183" s="218" t="s">
        <v>32</v>
      </c>
      <c r="I183" s="226"/>
      <c r="J183" s="226">
        <v>114.5</v>
      </c>
      <c r="K183" s="226"/>
      <c r="L183" s="226">
        <v>30</v>
      </c>
      <c r="M183" s="226"/>
      <c r="N183" s="219">
        <f t="shared" si="7"/>
        <v>144.5</v>
      </c>
      <c r="O183" s="227">
        <v>284.5</v>
      </c>
      <c r="P183" s="224" t="s">
        <v>520</v>
      </c>
      <c r="Q183" s="216">
        <v>45810</v>
      </c>
      <c r="R183" s="1"/>
    </row>
    <row r="184" spans="1:18" ht="15.75" customHeight="1" x14ac:dyDescent="0.2">
      <c r="A184" s="2" t="s">
        <v>1100</v>
      </c>
      <c r="B184" s="94" t="s">
        <v>1090</v>
      </c>
      <c r="C184" s="134" t="s">
        <v>1101</v>
      </c>
      <c r="D184" s="235" t="s">
        <v>26</v>
      </c>
      <c r="E184" s="134" t="s">
        <v>445</v>
      </c>
      <c r="F184" s="134" t="s">
        <v>406</v>
      </c>
      <c r="G184" s="215">
        <v>45810</v>
      </c>
      <c r="H184" s="134" t="s">
        <v>30</v>
      </c>
      <c r="I184" s="97">
        <v>300</v>
      </c>
      <c r="J184" s="97"/>
      <c r="K184" s="97"/>
      <c r="L184" s="97"/>
      <c r="M184" s="97"/>
      <c r="N184" s="219">
        <f t="shared" si="7"/>
        <v>300</v>
      </c>
      <c r="O184" s="98">
        <v>344.5</v>
      </c>
      <c r="P184" s="224" t="s">
        <v>520</v>
      </c>
      <c r="Q184" s="216">
        <v>45810</v>
      </c>
      <c r="R184" s="1"/>
    </row>
    <row r="185" spans="1:18" ht="15.75" customHeight="1" x14ac:dyDescent="0.2">
      <c r="A185" s="2"/>
      <c r="B185" s="136" t="s">
        <v>1102</v>
      </c>
      <c r="C185" s="134" t="s">
        <v>1358</v>
      </c>
      <c r="D185" s="235" t="s">
        <v>435</v>
      </c>
      <c r="E185" s="140"/>
      <c r="F185" s="140"/>
      <c r="G185" s="140"/>
      <c r="H185" s="134" t="s">
        <v>30</v>
      </c>
      <c r="I185" s="97"/>
      <c r="J185" s="97">
        <v>137</v>
      </c>
      <c r="K185" s="97"/>
      <c r="L185" s="97">
        <v>55</v>
      </c>
      <c r="M185" s="97"/>
      <c r="N185" s="219">
        <f t="shared" si="7"/>
        <v>192</v>
      </c>
      <c r="O185" s="98">
        <v>192</v>
      </c>
      <c r="P185" s="95" t="s">
        <v>425</v>
      </c>
      <c r="Q185" s="216">
        <v>45810</v>
      </c>
      <c r="R185" s="1"/>
    </row>
    <row r="186" spans="1:18" ht="15.75" customHeight="1" x14ac:dyDescent="0.2">
      <c r="A186" s="2" t="s">
        <v>1105</v>
      </c>
      <c r="B186" s="136" t="s">
        <v>1103</v>
      </c>
      <c r="C186" s="95" t="s">
        <v>1106</v>
      </c>
      <c r="D186" s="3" t="s">
        <v>26</v>
      </c>
      <c r="E186" s="95" t="s">
        <v>413</v>
      </c>
      <c r="F186" s="95" t="s">
        <v>406</v>
      </c>
      <c r="G186" s="101">
        <v>45808</v>
      </c>
      <c r="H186" s="134" t="s">
        <v>30</v>
      </c>
      <c r="I186" s="97"/>
      <c r="J186" s="97">
        <v>90</v>
      </c>
      <c r="K186" s="97"/>
      <c r="L186" s="97"/>
      <c r="M186" s="97"/>
      <c r="N186" s="219">
        <f t="shared" si="7"/>
        <v>90</v>
      </c>
      <c r="O186" s="98">
        <v>160</v>
      </c>
      <c r="P186" s="95" t="s">
        <v>948</v>
      </c>
      <c r="Q186" s="79">
        <v>45814</v>
      </c>
      <c r="R186" s="1"/>
    </row>
    <row r="187" spans="1:18" ht="15.75" customHeight="1" x14ac:dyDescent="0.2">
      <c r="A187" s="2" t="s">
        <v>1110</v>
      </c>
      <c r="B187" s="136" t="s">
        <v>1104</v>
      </c>
      <c r="C187" s="95" t="s">
        <v>1109</v>
      </c>
      <c r="D187" s="3" t="s">
        <v>26</v>
      </c>
      <c r="E187" s="95" t="s">
        <v>661</v>
      </c>
      <c r="F187" s="95" t="s">
        <v>406</v>
      </c>
      <c r="G187" s="101">
        <v>45810</v>
      </c>
      <c r="H187" s="134" t="s">
        <v>30</v>
      </c>
      <c r="I187" s="97">
        <v>190</v>
      </c>
      <c r="J187" s="97"/>
      <c r="K187" s="97"/>
      <c r="L187" s="97"/>
      <c r="M187" s="97"/>
      <c r="N187" s="219">
        <f t="shared" si="7"/>
        <v>190</v>
      </c>
      <c r="O187" s="98"/>
      <c r="P187" s="95" t="s">
        <v>520</v>
      </c>
      <c r="Q187" s="216">
        <v>45810</v>
      </c>
      <c r="R187" s="1"/>
    </row>
    <row r="188" spans="1:18" ht="32.25" customHeight="1" x14ac:dyDescent="0.2">
      <c r="A188" s="57" t="s">
        <v>1121</v>
      </c>
      <c r="B188" s="136" t="s">
        <v>1118</v>
      </c>
      <c r="C188" s="99" t="s">
        <v>1120</v>
      </c>
      <c r="D188" s="238" t="s">
        <v>33</v>
      </c>
      <c r="E188" s="95" t="s">
        <v>436</v>
      </c>
      <c r="F188" s="95" t="s">
        <v>406</v>
      </c>
      <c r="G188" s="146" t="s">
        <v>1122</v>
      </c>
      <c r="H188" s="134" t="s">
        <v>30</v>
      </c>
      <c r="I188" s="97"/>
      <c r="J188" s="97">
        <v>183.1</v>
      </c>
      <c r="K188" s="97"/>
      <c r="L188" s="97"/>
      <c r="M188" s="97"/>
      <c r="N188" s="219">
        <f t="shared" si="7"/>
        <v>183.1</v>
      </c>
      <c r="O188" s="98">
        <v>323.10000000000002</v>
      </c>
      <c r="P188" s="95" t="s">
        <v>520</v>
      </c>
      <c r="Q188" s="216">
        <v>45810</v>
      </c>
      <c r="R188" s="1"/>
    </row>
    <row r="189" spans="1:18" ht="15.75" customHeight="1" x14ac:dyDescent="0.2">
      <c r="A189" s="2" t="s">
        <v>1124</v>
      </c>
      <c r="B189" s="136" t="s">
        <v>1119</v>
      </c>
      <c r="C189" s="95" t="s">
        <v>1123</v>
      </c>
      <c r="D189" s="3" t="s">
        <v>26</v>
      </c>
      <c r="E189" s="95" t="s">
        <v>1125</v>
      </c>
      <c r="F189" s="95" t="s">
        <v>1126</v>
      </c>
      <c r="G189" s="101">
        <v>45802</v>
      </c>
      <c r="H189" s="134" t="s">
        <v>30</v>
      </c>
      <c r="I189" s="97"/>
      <c r="J189" s="139"/>
      <c r="K189" s="97"/>
      <c r="L189" s="139"/>
      <c r="M189" s="97"/>
      <c r="N189" s="219">
        <f t="shared" si="7"/>
        <v>0</v>
      </c>
      <c r="O189" s="98">
        <v>90</v>
      </c>
      <c r="P189" s="95" t="s">
        <v>489</v>
      </c>
      <c r="Q189" s="79">
        <v>45817</v>
      </c>
      <c r="R189" s="1"/>
    </row>
    <row r="190" spans="1:18" ht="61.5" customHeight="1" x14ac:dyDescent="0.2">
      <c r="A190" s="57" t="s">
        <v>1132</v>
      </c>
      <c r="B190" s="136" t="s">
        <v>1128</v>
      </c>
      <c r="C190" s="99" t="s">
        <v>1127</v>
      </c>
      <c r="D190" s="3" t="s">
        <v>26</v>
      </c>
      <c r="E190" s="99" t="s">
        <v>1133</v>
      </c>
      <c r="F190" s="95" t="s">
        <v>406</v>
      </c>
      <c r="G190" s="99" t="s">
        <v>1134</v>
      </c>
      <c r="H190" s="134" t="s">
        <v>30</v>
      </c>
      <c r="I190" s="97"/>
      <c r="J190" s="97">
        <v>176.1</v>
      </c>
      <c r="K190" s="97"/>
      <c r="L190" s="97">
        <v>53</v>
      </c>
      <c r="M190" s="97"/>
      <c r="N190" s="219">
        <f t="shared" si="7"/>
        <v>229.1</v>
      </c>
      <c r="O190" s="98">
        <v>229.1</v>
      </c>
      <c r="P190" s="95" t="s">
        <v>489</v>
      </c>
      <c r="Q190" s="79">
        <v>45818</v>
      </c>
      <c r="R190" s="1"/>
    </row>
    <row r="191" spans="1:18" ht="15.75" customHeight="1" x14ac:dyDescent="0.2">
      <c r="A191" s="2" t="s">
        <v>1135</v>
      </c>
      <c r="B191" s="228" t="s">
        <v>1129</v>
      </c>
      <c r="C191" s="134" t="s">
        <v>1136</v>
      </c>
      <c r="D191" s="235" t="s">
        <v>26</v>
      </c>
      <c r="E191" s="95" t="s">
        <v>449</v>
      </c>
      <c r="F191" s="95" t="s">
        <v>406</v>
      </c>
      <c r="G191" s="95" t="s">
        <v>1137</v>
      </c>
      <c r="H191" s="134" t="s">
        <v>30</v>
      </c>
      <c r="I191" s="97"/>
      <c r="J191" s="97">
        <v>180</v>
      </c>
      <c r="K191" s="97"/>
      <c r="L191" s="97">
        <v>100</v>
      </c>
      <c r="M191" s="97"/>
      <c r="N191" s="219">
        <f t="shared" si="7"/>
        <v>280</v>
      </c>
      <c r="O191" s="219">
        <v>328.6</v>
      </c>
      <c r="P191" s="95" t="s">
        <v>948</v>
      </c>
      <c r="Q191" s="79">
        <v>45814</v>
      </c>
      <c r="R191" s="1"/>
    </row>
    <row r="192" spans="1:18" ht="15.75" customHeight="1" x14ac:dyDescent="0.2">
      <c r="A192" s="208" t="s">
        <v>954</v>
      </c>
      <c r="B192" s="217" t="s">
        <v>1130</v>
      </c>
      <c r="C192" s="218" t="s">
        <v>1075</v>
      </c>
      <c r="D192" s="241" t="s">
        <v>26</v>
      </c>
      <c r="E192" s="138" t="s">
        <v>449</v>
      </c>
      <c r="F192" s="95" t="s">
        <v>461</v>
      </c>
      <c r="G192" s="101">
        <v>45817</v>
      </c>
      <c r="H192" s="134" t="s">
        <v>30</v>
      </c>
      <c r="I192" s="97"/>
      <c r="J192" s="97">
        <v>130</v>
      </c>
      <c r="K192" s="97"/>
      <c r="L192" s="97">
        <v>50</v>
      </c>
      <c r="M192" s="97"/>
      <c r="N192" s="219">
        <f t="shared" si="7"/>
        <v>180</v>
      </c>
      <c r="O192" s="98">
        <v>250</v>
      </c>
      <c r="P192" s="95" t="s">
        <v>948</v>
      </c>
      <c r="Q192" s="79">
        <v>45818</v>
      </c>
      <c r="R192" s="1"/>
    </row>
    <row r="193" spans="1:18" ht="15.75" customHeight="1" x14ac:dyDescent="0.2">
      <c r="A193" s="2" t="s">
        <v>737</v>
      </c>
      <c r="B193" s="229" t="s">
        <v>1131</v>
      </c>
      <c r="C193" s="224" t="s">
        <v>1142</v>
      </c>
      <c r="D193" s="239" t="s">
        <v>26</v>
      </c>
      <c r="E193" s="95"/>
      <c r="F193" s="95"/>
      <c r="G193" s="101">
        <v>45818</v>
      </c>
      <c r="H193" s="134" t="s">
        <v>30</v>
      </c>
      <c r="I193" s="97"/>
      <c r="J193" s="97"/>
      <c r="K193" s="97"/>
      <c r="L193" s="97"/>
      <c r="M193" s="97"/>
      <c r="N193" s="145">
        <v>190</v>
      </c>
      <c r="O193" s="98">
        <v>190</v>
      </c>
      <c r="P193" s="95" t="s">
        <v>520</v>
      </c>
      <c r="Q193" s="79">
        <v>45819</v>
      </c>
      <c r="R193" s="1"/>
    </row>
    <row r="194" spans="1:18" ht="15.75" customHeight="1" x14ac:dyDescent="0.2">
      <c r="A194" s="2" t="s">
        <v>1047</v>
      </c>
      <c r="B194" s="229" t="s">
        <v>1143</v>
      </c>
      <c r="C194" s="95" t="s">
        <v>1147</v>
      </c>
      <c r="D194" s="3" t="s">
        <v>26</v>
      </c>
      <c r="E194" s="95"/>
      <c r="F194" s="95"/>
      <c r="G194" s="101">
        <v>45818</v>
      </c>
      <c r="H194" s="95" t="s">
        <v>30</v>
      </c>
      <c r="I194" s="97"/>
      <c r="J194" s="97"/>
      <c r="K194" s="97"/>
      <c r="L194" s="97"/>
      <c r="M194" s="97"/>
      <c r="N194" s="145">
        <v>130</v>
      </c>
      <c r="O194" s="98">
        <v>147</v>
      </c>
      <c r="P194" s="95" t="s">
        <v>948</v>
      </c>
      <c r="Q194" s="79">
        <v>45821</v>
      </c>
      <c r="R194" s="1"/>
    </row>
    <row r="195" spans="1:18" ht="15.75" customHeight="1" x14ac:dyDescent="0.2">
      <c r="A195" s="57" t="s">
        <v>1148</v>
      </c>
      <c r="B195" s="229" t="s">
        <v>1144</v>
      </c>
      <c r="C195" s="99" t="s">
        <v>1149</v>
      </c>
      <c r="D195" s="77" t="s">
        <v>26</v>
      </c>
      <c r="E195" s="95"/>
      <c r="F195" s="95"/>
      <c r="G195" s="101">
        <v>45822</v>
      </c>
      <c r="H195" s="95" t="s">
        <v>30</v>
      </c>
      <c r="I195" s="97"/>
      <c r="J195" s="97">
        <v>60</v>
      </c>
      <c r="K195" s="97"/>
      <c r="L195" s="97"/>
      <c r="M195" s="97"/>
      <c r="N195" s="145">
        <f>SUM(J195:M195)</f>
        <v>60</v>
      </c>
      <c r="O195" s="98">
        <v>330</v>
      </c>
      <c r="P195" s="95" t="s">
        <v>520</v>
      </c>
      <c r="Q195" s="79">
        <v>45825</v>
      </c>
      <c r="R195" s="1"/>
    </row>
    <row r="196" spans="1:18" ht="15.75" customHeight="1" x14ac:dyDescent="0.2">
      <c r="A196" s="2" t="s">
        <v>1151</v>
      </c>
      <c r="B196" s="229" t="s">
        <v>1145</v>
      </c>
      <c r="C196" s="95" t="s">
        <v>1150</v>
      </c>
      <c r="D196" s="3" t="s">
        <v>26</v>
      </c>
      <c r="E196" s="95"/>
      <c r="F196" s="95"/>
      <c r="G196" s="101">
        <v>45824</v>
      </c>
      <c r="H196" s="95" t="s">
        <v>30</v>
      </c>
      <c r="I196" s="97">
        <v>150</v>
      </c>
      <c r="J196" s="97"/>
      <c r="K196" s="97"/>
      <c r="L196" s="97"/>
      <c r="M196" s="97"/>
      <c r="N196" s="145">
        <v>190</v>
      </c>
      <c r="O196" s="98">
        <v>190</v>
      </c>
      <c r="P196" s="95" t="s">
        <v>520</v>
      </c>
      <c r="Q196" s="79">
        <v>45825</v>
      </c>
      <c r="R196" s="1"/>
    </row>
    <row r="197" spans="1:18" ht="15.75" customHeight="1" x14ac:dyDescent="0.2">
      <c r="A197" s="2" t="s">
        <v>1152</v>
      </c>
      <c r="B197" s="229" t="s">
        <v>1146</v>
      </c>
      <c r="C197" s="95" t="s">
        <v>1153</v>
      </c>
      <c r="D197" s="3" t="s">
        <v>26</v>
      </c>
      <c r="E197" s="95"/>
      <c r="F197" s="95"/>
      <c r="G197" s="101">
        <v>45819</v>
      </c>
      <c r="H197" s="95" t="s">
        <v>30</v>
      </c>
      <c r="I197" s="97">
        <v>65</v>
      </c>
      <c r="J197" s="97"/>
      <c r="K197" s="97"/>
      <c r="L197" s="97">
        <v>15</v>
      </c>
      <c r="M197" s="97"/>
      <c r="N197" s="145">
        <f>SUM(I197:M197)</f>
        <v>80</v>
      </c>
      <c r="O197" s="98">
        <v>80</v>
      </c>
      <c r="P197" s="95" t="s">
        <v>429</v>
      </c>
      <c r="Q197" s="79">
        <v>45825</v>
      </c>
      <c r="R197" s="1"/>
    </row>
    <row r="198" spans="1:18" ht="45" customHeight="1" x14ac:dyDescent="0.2">
      <c r="A198" s="57" t="s">
        <v>1157</v>
      </c>
      <c r="B198" s="229" t="s">
        <v>1154</v>
      </c>
      <c r="C198" s="99" t="s">
        <v>1156</v>
      </c>
      <c r="D198" s="77" t="s">
        <v>26</v>
      </c>
      <c r="E198" s="95"/>
      <c r="F198" s="95"/>
      <c r="G198" s="95"/>
      <c r="H198" s="95" t="s">
        <v>30</v>
      </c>
      <c r="I198" s="97"/>
      <c r="J198" s="97"/>
      <c r="K198" s="97">
        <v>30</v>
      </c>
      <c r="L198" s="97">
        <v>24</v>
      </c>
      <c r="M198" s="97"/>
      <c r="N198" s="145">
        <f>SUM(I198:M198)</f>
        <v>54</v>
      </c>
      <c r="O198" s="98">
        <v>154</v>
      </c>
      <c r="P198" s="95" t="s">
        <v>466</v>
      </c>
      <c r="Q198" s="79">
        <v>45825</v>
      </c>
      <c r="R198" s="1"/>
    </row>
    <row r="199" spans="1:18" ht="15.75" customHeight="1" x14ac:dyDescent="0.2">
      <c r="A199" s="2" t="s">
        <v>1159</v>
      </c>
      <c r="B199" s="229" t="s">
        <v>1155</v>
      </c>
      <c r="C199" s="95" t="s">
        <v>1158</v>
      </c>
      <c r="D199" s="3" t="s">
        <v>26</v>
      </c>
      <c r="E199" s="95"/>
      <c r="F199" s="95"/>
      <c r="G199" s="95" t="s">
        <v>1160</v>
      </c>
      <c r="H199" s="95" t="s">
        <v>30</v>
      </c>
      <c r="I199" s="97"/>
      <c r="J199" s="97"/>
      <c r="K199" s="97"/>
      <c r="L199" s="97">
        <v>110</v>
      </c>
      <c r="M199" s="97"/>
      <c r="N199" s="145">
        <f>SUM(I199:M199)</f>
        <v>110</v>
      </c>
      <c r="O199" s="98">
        <v>390</v>
      </c>
      <c r="P199" s="95" t="s">
        <v>489</v>
      </c>
      <c r="Q199" s="79">
        <v>45825</v>
      </c>
      <c r="R199" s="1"/>
    </row>
    <row r="200" spans="1:18" ht="15.75" customHeight="1" x14ac:dyDescent="0.2">
      <c r="A200" s="2" t="s">
        <v>1167</v>
      </c>
      <c r="B200" s="229" t="s">
        <v>1162</v>
      </c>
      <c r="C200" s="95" t="s">
        <v>1161</v>
      </c>
      <c r="D200" s="3" t="s">
        <v>26</v>
      </c>
      <c r="E200" s="95"/>
      <c r="F200" s="95"/>
      <c r="G200" s="95"/>
      <c r="H200" s="95" t="s">
        <v>30</v>
      </c>
      <c r="I200" s="97"/>
      <c r="J200" s="97"/>
      <c r="K200" s="97"/>
      <c r="L200" s="97"/>
      <c r="M200" s="97"/>
      <c r="N200" s="145">
        <v>134</v>
      </c>
      <c r="O200" s="98">
        <v>134</v>
      </c>
      <c r="P200" s="95" t="s">
        <v>520</v>
      </c>
      <c r="Q200" s="79">
        <v>45825</v>
      </c>
      <c r="R200" s="1"/>
    </row>
    <row r="201" spans="1:18" ht="15.75" customHeight="1" x14ac:dyDescent="0.2">
      <c r="A201" s="2" t="s">
        <v>1047</v>
      </c>
      <c r="B201" s="229" t="s">
        <v>1163</v>
      </c>
      <c r="C201" s="95" t="s">
        <v>1170</v>
      </c>
      <c r="D201" s="3" t="s">
        <v>26</v>
      </c>
      <c r="E201" s="95" t="s">
        <v>449</v>
      </c>
      <c r="F201" s="95" t="s">
        <v>406</v>
      </c>
      <c r="G201" s="101">
        <v>45826</v>
      </c>
      <c r="H201" s="95" t="s">
        <v>30</v>
      </c>
      <c r="I201" s="97"/>
      <c r="J201" s="97">
        <v>80</v>
      </c>
      <c r="K201" s="97"/>
      <c r="L201" s="97">
        <v>100</v>
      </c>
      <c r="M201" s="97"/>
      <c r="N201" s="145">
        <f>SUM(J201:M201)</f>
        <v>180</v>
      </c>
      <c r="O201" s="98">
        <v>250</v>
      </c>
      <c r="P201" s="95" t="s">
        <v>948</v>
      </c>
      <c r="Q201" s="79">
        <v>45827</v>
      </c>
      <c r="R201" s="1"/>
    </row>
    <row r="202" spans="1:18" ht="15.75" customHeight="1" x14ac:dyDescent="0.2">
      <c r="A202" s="2" t="s">
        <v>464</v>
      </c>
      <c r="B202" s="229" t="s">
        <v>1164</v>
      </c>
      <c r="C202" s="95" t="s">
        <v>1171</v>
      </c>
      <c r="D202" s="3" t="s">
        <v>26</v>
      </c>
      <c r="E202" s="95"/>
      <c r="F202" s="95" t="s">
        <v>406</v>
      </c>
      <c r="G202" s="101">
        <v>45818</v>
      </c>
      <c r="H202" s="95" t="s">
        <v>1172</v>
      </c>
      <c r="I202" s="97"/>
      <c r="J202" s="97">
        <v>115</v>
      </c>
      <c r="K202" s="97"/>
      <c r="L202" s="97">
        <v>34</v>
      </c>
      <c r="M202" s="97"/>
      <c r="N202" s="145">
        <f>SUM(J202:M202)</f>
        <v>149</v>
      </c>
      <c r="O202" s="103">
        <v>219</v>
      </c>
      <c r="P202" s="95" t="s">
        <v>466</v>
      </c>
      <c r="Q202" s="79">
        <v>45828</v>
      </c>
      <c r="R202" s="1"/>
    </row>
    <row r="203" spans="1:18" ht="15.75" customHeight="1" x14ac:dyDescent="0.2">
      <c r="A203" s="2" t="s">
        <v>1174</v>
      </c>
      <c r="B203" s="229" t="s">
        <v>1165</v>
      </c>
      <c r="C203" s="95" t="s">
        <v>1173</v>
      </c>
      <c r="D203" s="3" t="s">
        <v>26</v>
      </c>
      <c r="E203" s="95" t="s">
        <v>710</v>
      </c>
      <c r="F203" s="95" t="s">
        <v>406</v>
      </c>
      <c r="G203" s="101">
        <v>45821</v>
      </c>
      <c r="H203" s="95" t="s">
        <v>1172</v>
      </c>
      <c r="I203" s="97"/>
      <c r="J203" s="97"/>
      <c r="K203" s="97"/>
      <c r="L203" s="97">
        <v>31</v>
      </c>
      <c r="M203" s="97"/>
      <c r="N203" s="145">
        <f t="shared" ref="N203:N211" si="8">SUM(I203:M203)</f>
        <v>31</v>
      </c>
      <c r="O203" s="98">
        <v>101</v>
      </c>
      <c r="P203" s="95" t="s">
        <v>520</v>
      </c>
      <c r="Q203" s="79">
        <v>45828</v>
      </c>
      <c r="R203" s="1"/>
    </row>
    <row r="204" spans="1:18" ht="15.75" customHeight="1" x14ac:dyDescent="0.2">
      <c r="A204" s="2" t="s">
        <v>1047</v>
      </c>
      <c r="B204" s="229" t="s">
        <v>1166</v>
      </c>
      <c r="C204" s="95" t="s">
        <v>1170</v>
      </c>
      <c r="D204" s="3" t="s">
        <v>26</v>
      </c>
      <c r="E204" s="95" t="s">
        <v>449</v>
      </c>
      <c r="F204" s="95" t="s">
        <v>406</v>
      </c>
      <c r="G204" s="101">
        <v>45828</v>
      </c>
      <c r="H204" s="95" t="s">
        <v>1172</v>
      </c>
      <c r="I204" s="97"/>
      <c r="J204" s="97">
        <v>160</v>
      </c>
      <c r="K204" s="97"/>
      <c r="L204" s="97"/>
      <c r="M204" s="97"/>
      <c r="N204" s="145">
        <f t="shared" si="8"/>
        <v>160</v>
      </c>
      <c r="O204" s="98">
        <v>170</v>
      </c>
      <c r="P204" s="95" t="s">
        <v>520</v>
      </c>
      <c r="Q204" s="79">
        <v>45831</v>
      </c>
      <c r="R204" s="1"/>
    </row>
    <row r="205" spans="1:18" ht="15.75" customHeight="1" x14ac:dyDescent="0.2">
      <c r="A205" s="2" t="s">
        <v>1182</v>
      </c>
      <c r="B205" s="229" t="s">
        <v>1179</v>
      </c>
      <c r="C205" s="95" t="s">
        <v>1183</v>
      </c>
      <c r="D205" s="3" t="s">
        <v>26</v>
      </c>
      <c r="E205" s="95" t="s">
        <v>661</v>
      </c>
      <c r="F205" s="95" t="s">
        <v>406</v>
      </c>
      <c r="G205" s="101">
        <v>45828</v>
      </c>
      <c r="H205" s="95" t="s">
        <v>1172</v>
      </c>
      <c r="I205" s="97"/>
      <c r="J205" s="97">
        <v>190</v>
      </c>
      <c r="K205" s="97"/>
      <c r="L205" s="97"/>
      <c r="M205" s="97"/>
      <c r="N205" s="145">
        <f t="shared" si="8"/>
        <v>190</v>
      </c>
      <c r="O205" s="98">
        <v>160</v>
      </c>
      <c r="P205" s="95" t="s">
        <v>520</v>
      </c>
      <c r="Q205" s="79">
        <v>45831</v>
      </c>
      <c r="R205" s="1"/>
    </row>
    <row r="206" spans="1:18" ht="33" customHeight="1" x14ac:dyDescent="0.2">
      <c r="A206" s="2" t="s">
        <v>1186</v>
      </c>
      <c r="B206" s="229" t="s">
        <v>1180</v>
      </c>
      <c r="C206" s="99" t="s">
        <v>1187</v>
      </c>
      <c r="D206" s="77" t="s">
        <v>26</v>
      </c>
      <c r="E206" s="95" t="s">
        <v>449</v>
      </c>
      <c r="F206" s="95" t="s">
        <v>406</v>
      </c>
      <c r="G206" s="101">
        <v>45829</v>
      </c>
      <c r="H206" s="95" t="s">
        <v>1172</v>
      </c>
      <c r="I206" s="97"/>
      <c r="J206" s="97">
        <v>180</v>
      </c>
      <c r="K206" s="97"/>
      <c r="L206" s="97"/>
      <c r="M206" s="97"/>
      <c r="N206" s="145">
        <f t="shared" si="8"/>
        <v>180</v>
      </c>
      <c r="O206" s="98">
        <v>240</v>
      </c>
      <c r="P206" s="95" t="s">
        <v>948</v>
      </c>
      <c r="Q206" s="79">
        <v>45833</v>
      </c>
      <c r="R206" s="1"/>
    </row>
    <row r="207" spans="1:18" ht="15.75" customHeight="1" x14ac:dyDescent="0.2">
      <c r="A207" s="2" t="s">
        <v>1188</v>
      </c>
      <c r="B207" s="229" t="s">
        <v>1181</v>
      </c>
      <c r="C207" s="95" t="s">
        <v>1189</v>
      </c>
      <c r="D207" s="3" t="s">
        <v>26</v>
      </c>
      <c r="E207" s="95" t="s">
        <v>661</v>
      </c>
      <c r="F207" s="95" t="s">
        <v>406</v>
      </c>
      <c r="G207" s="101">
        <v>45831</v>
      </c>
      <c r="H207" s="95" t="s">
        <v>30</v>
      </c>
      <c r="I207" s="97"/>
      <c r="J207" s="97">
        <v>190</v>
      </c>
      <c r="K207" s="97"/>
      <c r="L207" s="97"/>
      <c r="M207" s="97"/>
      <c r="N207" s="145">
        <f t="shared" si="8"/>
        <v>190</v>
      </c>
      <c r="O207" s="98">
        <v>110</v>
      </c>
      <c r="P207" s="95" t="s">
        <v>520</v>
      </c>
      <c r="Q207" s="79">
        <v>45833</v>
      </c>
      <c r="R207" s="1"/>
    </row>
    <row r="208" spans="1:18" ht="15.75" customHeight="1" x14ac:dyDescent="0.2">
      <c r="A208" s="2" t="s">
        <v>418</v>
      </c>
      <c r="B208" s="229" t="s">
        <v>1194</v>
      </c>
      <c r="C208" s="95" t="s">
        <v>1193</v>
      </c>
      <c r="D208" s="77" t="s">
        <v>26</v>
      </c>
      <c r="E208" s="95" t="s">
        <v>449</v>
      </c>
      <c r="F208" s="95" t="s">
        <v>461</v>
      </c>
      <c r="G208" s="101">
        <v>45827</v>
      </c>
      <c r="H208" s="95" t="s">
        <v>30</v>
      </c>
      <c r="I208" s="97"/>
      <c r="J208" s="97">
        <v>118</v>
      </c>
      <c r="K208" s="97"/>
      <c r="L208" s="97">
        <v>15</v>
      </c>
      <c r="M208" s="97"/>
      <c r="N208" s="145">
        <f t="shared" si="8"/>
        <v>133</v>
      </c>
      <c r="O208" s="98">
        <v>203</v>
      </c>
      <c r="P208" s="95" t="s">
        <v>466</v>
      </c>
      <c r="Q208" s="79">
        <v>45833</v>
      </c>
      <c r="R208" s="1"/>
    </row>
    <row r="209" spans="1:18" ht="15.75" customHeight="1" x14ac:dyDescent="0.2">
      <c r="A209" s="2" t="s">
        <v>418</v>
      </c>
      <c r="B209" s="229" t="s">
        <v>1195</v>
      </c>
      <c r="C209" s="95" t="s">
        <v>1198</v>
      </c>
      <c r="D209" s="77" t="s">
        <v>26</v>
      </c>
      <c r="E209" s="95" t="s">
        <v>449</v>
      </c>
      <c r="F209" s="95" t="s">
        <v>461</v>
      </c>
      <c r="G209" s="101">
        <v>45832</v>
      </c>
      <c r="H209" s="95" t="s">
        <v>30</v>
      </c>
      <c r="I209" s="97"/>
      <c r="J209" s="97">
        <v>200</v>
      </c>
      <c r="K209" s="97"/>
      <c r="L209" s="97">
        <v>100</v>
      </c>
      <c r="M209" s="97"/>
      <c r="N209" s="145">
        <f t="shared" si="8"/>
        <v>300</v>
      </c>
      <c r="O209" s="98"/>
      <c r="P209" s="95" t="s">
        <v>948</v>
      </c>
      <c r="Q209" s="79">
        <v>45833</v>
      </c>
      <c r="R209" s="1"/>
    </row>
    <row r="210" spans="1:18" ht="15.75" customHeight="1" x14ac:dyDescent="0.2">
      <c r="A210" s="2" t="s">
        <v>1199</v>
      </c>
      <c r="B210" s="229" t="s">
        <v>1196</v>
      </c>
      <c r="C210" s="95" t="s">
        <v>1200</v>
      </c>
      <c r="D210" s="3" t="s">
        <v>26</v>
      </c>
      <c r="E210" s="95" t="s">
        <v>661</v>
      </c>
      <c r="F210" s="95" t="s">
        <v>406</v>
      </c>
      <c r="G210" s="101">
        <v>45834</v>
      </c>
      <c r="H210" s="95" t="s">
        <v>30</v>
      </c>
      <c r="I210" s="97">
        <v>170</v>
      </c>
      <c r="J210" s="97"/>
      <c r="K210" s="97"/>
      <c r="L210" s="97"/>
      <c r="M210" s="97"/>
      <c r="N210" s="145">
        <f t="shared" si="8"/>
        <v>170</v>
      </c>
      <c r="O210" s="98">
        <v>160</v>
      </c>
      <c r="P210" s="95" t="s">
        <v>520</v>
      </c>
      <c r="Q210" s="79">
        <v>45836</v>
      </c>
      <c r="R210" s="1"/>
    </row>
    <row r="211" spans="1:18" ht="15.75" customHeight="1" x14ac:dyDescent="0.2">
      <c r="A211" s="2" t="s">
        <v>1201</v>
      </c>
      <c r="B211" s="229" t="s">
        <v>1197</v>
      </c>
      <c r="C211" s="95" t="s">
        <v>1202</v>
      </c>
      <c r="D211" s="3" t="s">
        <v>33</v>
      </c>
      <c r="E211" s="95" t="s">
        <v>436</v>
      </c>
      <c r="F211" s="95" t="s">
        <v>461</v>
      </c>
      <c r="G211" s="95"/>
      <c r="H211" s="95" t="s">
        <v>30</v>
      </c>
      <c r="I211" s="97"/>
      <c r="J211" s="97">
        <v>49</v>
      </c>
      <c r="K211" s="97"/>
      <c r="L211" s="97"/>
      <c r="M211" s="97">
        <v>90</v>
      </c>
      <c r="N211" s="145">
        <f t="shared" si="8"/>
        <v>139</v>
      </c>
      <c r="O211" s="98">
        <v>139</v>
      </c>
      <c r="P211" s="95" t="s">
        <v>520</v>
      </c>
      <c r="Q211" s="79">
        <v>45836</v>
      </c>
      <c r="R211" s="1"/>
    </row>
    <row r="212" spans="1:18" ht="15.75" customHeight="1" x14ac:dyDescent="0.2">
      <c r="A212" s="2" t="s">
        <v>800</v>
      </c>
      <c r="B212" s="229" t="s">
        <v>1210</v>
      </c>
      <c r="C212" s="95" t="s">
        <v>1209</v>
      </c>
      <c r="D212" s="3" t="s">
        <v>26</v>
      </c>
      <c r="E212" s="95" t="s">
        <v>436</v>
      </c>
      <c r="F212" s="95" t="s">
        <v>461</v>
      </c>
      <c r="G212" s="95"/>
      <c r="H212" s="95" t="s">
        <v>30</v>
      </c>
      <c r="I212" s="97"/>
      <c r="J212" s="97"/>
      <c r="K212" s="97"/>
      <c r="L212" s="97"/>
      <c r="M212" s="97"/>
      <c r="N212" s="145">
        <v>300</v>
      </c>
      <c r="O212" s="98">
        <v>250.3</v>
      </c>
      <c r="P212" s="95" t="s">
        <v>520</v>
      </c>
      <c r="Q212" s="79">
        <v>45839</v>
      </c>
      <c r="R212" s="1"/>
    </row>
    <row r="213" spans="1:18" ht="15.75" customHeight="1" x14ac:dyDescent="0.2">
      <c r="A213" s="2" t="s">
        <v>1047</v>
      </c>
      <c r="B213" s="229" t="s">
        <v>1211</v>
      </c>
      <c r="C213" s="95" t="s">
        <v>1214</v>
      </c>
      <c r="D213" s="3" t="s">
        <v>26</v>
      </c>
      <c r="E213" s="95" t="s">
        <v>449</v>
      </c>
      <c r="F213" s="95" t="s">
        <v>461</v>
      </c>
      <c r="G213" s="101">
        <v>45838</v>
      </c>
      <c r="H213" s="95" t="s">
        <v>1172</v>
      </c>
      <c r="I213" s="97"/>
      <c r="J213" s="97">
        <v>100</v>
      </c>
      <c r="K213" s="97"/>
      <c r="L213" s="97">
        <v>50</v>
      </c>
      <c r="M213" s="97"/>
      <c r="N213" s="145">
        <f>SUM(J213:M213)</f>
        <v>150</v>
      </c>
      <c r="O213" s="98">
        <v>150</v>
      </c>
      <c r="P213" s="95" t="s">
        <v>948</v>
      </c>
      <c r="Q213" s="79">
        <v>45839</v>
      </c>
      <c r="R213" s="1"/>
    </row>
    <row r="214" spans="1:18" ht="15.75" customHeight="1" x14ac:dyDescent="0.2">
      <c r="A214" s="2" t="s">
        <v>1219</v>
      </c>
      <c r="B214" s="229" t="s">
        <v>1212</v>
      </c>
      <c r="C214" s="95" t="s">
        <v>1220</v>
      </c>
      <c r="D214" s="3" t="s">
        <v>26</v>
      </c>
      <c r="E214" s="95" t="s">
        <v>1077</v>
      </c>
      <c r="F214" s="95" t="s">
        <v>406</v>
      </c>
      <c r="G214" s="101">
        <v>45839</v>
      </c>
      <c r="H214" s="95" t="s">
        <v>1172</v>
      </c>
      <c r="I214" s="97"/>
      <c r="J214" s="97">
        <v>120</v>
      </c>
      <c r="K214" s="97"/>
      <c r="L214" s="97">
        <v>180</v>
      </c>
      <c r="M214" s="97">
        <v>80</v>
      </c>
      <c r="N214" s="145">
        <f>SUM(J214:M214)</f>
        <v>380</v>
      </c>
      <c r="O214" s="98">
        <v>403.6</v>
      </c>
      <c r="P214" s="95" t="s">
        <v>1190</v>
      </c>
      <c r="Q214" s="79">
        <v>45839</v>
      </c>
      <c r="R214" s="1"/>
    </row>
    <row r="215" spans="1:18" ht="31.5" customHeight="1" x14ac:dyDescent="0.2">
      <c r="A215" s="57" t="s">
        <v>1222</v>
      </c>
      <c r="B215" s="229" t="s">
        <v>1213</v>
      </c>
      <c r="C215" s="99" t="s">
        <v>1221</v>
      </c>
      <c r="D215" s="77" t="s">
        <v>1356</v>
      </c>
      <c r="E215" s="95" t="s">
        <v>436</v>
      </c>
      <c r="F215" s="95" t="s">
        <v>406</v>
      </c>
      <c r="G215" s="95"/>
      <c r="H215" s="95" t="s">
        <v>40</v>
      </c>
      <c r="I215" s="97"/>
      <c r="J215" s="97"/>
      <c r="K215" s="97">
        <v>41</v>
      </c>
      <c r="L215" s="97"/>
      <c r="M215" s="97"/>
      <c r="N215" s="145">
        <f>SUM(J215:M215)</f>
        <v>41</v>
      </c>
      <c r="O215" s="98">
        <v>201</v>
      </c>
      <c r="P215" s="95" t="s">
        <v>520</v>
      </c>
      <c r="Q215" s="79">
        <v>45840</v>
      </c>
      <c r="R215" s="1"/>
    </row>
    <row r="216" spans="1:18" ht="15.75" customHeight="1" x14ac:dyDescent="0.2">
      <c r="A216" s="2" t="s">
        <v>437</v>
      </c>
      <c r="B216" s="229" t="s">
        <v>1223</v>
      </c>
      <c r="C216" s="95" t="s">
        <v>435</v>
      </c>
      <c r="D216" s="95" t="s">
        <v>435</v>
      </c>
      <c r="E216" s="95"/>
      <c r="F216" s="95"/>
      <c r="G216" s="95"/>
      <c r="H216" s="95" t="s">
        <v>40</v>
      </c>
      <c r="I216" s="97">
        <v>360</v>
      </c>
      <c r="J216" s="97">
        <v>140</v>
      </c>
      <c r="K216" s="97"/>
      <c r="L216" s="97">
        <v>160</v>
      </c>
      <c r="M216" s="97">
        <v>210</v>
      </c>
      <c r="N216" s="145">
        <f>SUM(I216:M216)</f>
        <v>870</v>
      </c>
      <c r="O216" s="98">
        <v>1022.05</v>
      </c>
      <c r="P216" s="95" t="s">
        <v>948</v>
      </c>
      <c r="Q216" s="79">
        <v>45840</v>
      </c>
      <c r="R216" s="1"/>
    </row>
    <row r="217" spans="1:18" ht="15.75" customHeight="1" x14ac:dyDescent="0.2">
      <c r="A217" s="2" t="s">
        <v>907</v>
      </c>
      <c r="B217" s="229" t="s">
        <v>1224</v>
      </c>
      <c r="C217" s="95" t="s">
        <v>1227</v>
      </c>
      <c r="D217" s="3" t="s">
        <v>33</v>
      </c>
      <c r="E217" s="95" t="s">
        <v>436</v>
      </c>
      <c r="F217" s="95" t="s">
        <v>406</v>
      </c>
      <c r="G217" s="95"/>
      <c r="H217" s="95" t="s">
        <v>40</v>
      </c>
      <c r="I217" s="97"/>
      <c r="J217" s="97">
        <v>57.5</v>
      </c>
      <c r="K217" s="97"/>
      <c r="L217" s="97">
        <v>15</v>
      </c>
      <c r="M217" s="97"/>
      <c r="N217" s="145">
        <f>SUM(I217:M217)</f>
        <v>72.5</v>
      </c>
      <c r="O217" s="98">
        <v>152.5</v>
      </c>
      <c r="P217" s="95" t="s">
        <v>520</v>
      </c>
      <c r="Q217" s="79">
        <v>45840</v>
      </c>
      <c r="R217" s="1"/>
    </row>
    <row r="218" spans="1:18" ht="45" customHeight="1" x14ac:dyDescent="0.2">
      <c r="A218" s="57" t="s">
        <v>1229</v>
      </c>
      <c r="B218" s="229" t="s">
        <v>1225</v>
      </c>
      <c r="C218" s="99" t="s">
        <v>1228</v>
      </c>
      <c r="D218" s="77" t="s">
        <v>1356</v>
      </c>
      <c r="E218" s="95" t="s">
        <v>436</v>
      </c>
      <c r="F218" s="95" t="s">
        <v>406</v>
      </c>
      <c r="G218" s="95"/>
      <c r="H218" s="95" t="s">
        <v>40</v>
      </c>
      <c r="I218" s="97"/>
      <c r="J218" s="97">
        <v>202.5</v>
      </c>
      <c r="K218" s="97"/>
      <c r="L218" s="97"/>
      <c r="M218" s="97"/>
      <c r="N218" s="145">
        <f>SUM(I218:M218)</f>
        <v>202.5</v>
      </c>
      <c r="O218" s="98">
        <v>202.5</v>
      </c>
      <c r="P218" s="95" t="s">
        <v>429</v>
      </c>
      <c r="Q218" s="79">
        <v>45840</v>
      </c>
      <c r="R218" s="1"/>
    </row>
    <row r="219" spans="1:18" ht="15.75" customHeight="1" x14ac:dyDescent="0.2">
      <c r="A219" s="57" t="s">
        <v>1232</v>
      </c>
      <c r="B219" s="229" t="s">
        <v>1226</v>
      </c>
      <c r="C219" s="95" t="s">
        <v>1230</v>
      </c>
      <c r="D219" s="3" t="s">
        <v>26</v>
      </c>
      <c r="E219" s="95" t="s">
        <v>1231</v>
      </c>
      <c r="F219" s="95" t="s">
        <v>406</v>
      </c>
      <c r="G219" s="95"/>
      <c r="H219" s="95" t="s">
        <v>40</v>
      </c>
      <c r="I219" s="97"/>
      <c r="J219" s="97">
        <v>50</v>
      </c>
      <c r="K219" s="97"/>
      <c r="L219" s="97"/>
      <c r="M219" s="97"/>
      <c r="N219" s="145">
        <f>SUM(I219:M219)</f>
        <v>50</v>
      </c>
      <c r="O219" s="98">
        <v>50</v>
      </c>
      <c r="P219" s="95" t="s">
        <v>948</v>
      </c>
      <c r="Q219" s="79">
        <v>45840</v>
      </c>
      <c r="R219" s="1"/>
    </row>
    <row r="220" spans="1:18" ht="15.75" customHeight="1" x14ac:dyDescent="0.2">
      <c r="A220" s="2" t="s">
        <v>1067</v>
      </c>
      <c r="B220" s="229" t="s">
        <v>1233</v>
      </c>
      <c r="C220" s="95" t="s">
        <v>1257</v>
      </c>
      <c r="D220" s="3" t="s">
        <v>33</v>
      </c>
      <c r="E220" s="95" t="s">
        <v>436</v>
      </c>
      <c r="F220" s="95" t="s">
        <v>406</v>
      </c>
      <c r="G220" s="95"/>
      <c r="H220" s="95" t="s">
        <v>40</v>
      </c>
      <c r="I220" s="97"/>
      <c r="J220" s="97">
        <v>38</v>
      </c>
      <c r="K220" s="97"/>
      <c r="L220" s="97">
        <v>15</v>
      </c>
      <c r="M220" s="97"/>
      <c r="N220" s="145">
        <f>SUM(I220:M220)</f>
        <v>53</v>
      </c>
      <c r="O220" s="98">
        <v>143</v>
      </c>
      <c r="P220" s="95" t="s">
        <v>520</v>
      </c>
      <c r="Q220" s="79">
        <v>45841</v>
      </c>
      <c r="R220" s="1"/>
    </row>
    <row r="221" spans="1:18" ht="15.75" customHeight="1" x14ac:dyDescent="0.2">
      <c r="A221" s="2" t="s">
        <v>911</v>
      </c>
      <c r="B221" s="229" t="s">
        <v>1234</v>
      </c>
      <c r="C221" s="95" t="s">
        <v>1240</v>
      </c>
      <c r="D221" s="3" t="s">
        <v>33</v>
      </c>
      <c r="E221" s="95" t="s">
        <v>436</v>
      </c>
      <c r="F221" s="95" t="s">
        <v>406</v>
      </c>
      <c r="G221" s="95"/>
      <c r="H221" s="95" t="s">
        <v>40</v>
      </c>
      <c r="I221" s="97"/>
      <c r="J221" s="97"/>
      <c r="K221" s="97"/>
      <c r="L221" s="97"/>
      <c r="M221" s="97"/>
      <c r="N221" s="145">
        <v>40</v>
      </c>
      <c r="O221" s="98">
        <v>40</v>
      </c>
      <c r="P221" s="95" t="s">
        <v>520</v>
      </c>
      <c r="Q221" s="79">
        <v>45845</v>
      </c>
      <c r="R221" s="1"/>
    </row>
    <row r="222" spans="1:18" ht="15.75" customHeight="1" x14ac:dyDescent="0.2">
      <c r="A222" s="230" t="s">
        <v>1219</v>
      </c>
      <c r="B222" s="229" t="s">
        <v>1235</v>
      </c>
      <c r="C222" s="95" t="s">
        <v>1241</v>
      </c>
      <c r="D222" s="3" t="s">
        <v>26</v>
      </c>
      <c r="E222" s="95" t="s">
        <v>436</v>
      </c>
      <c r="F222" s="95" t="s">
        <v>406</v>
      </c>
      <c r="G222" s="101">
        <v>45839</v>
      </c>
      <c r="H222" s="95" t="s">
        <v>40</v>
      </c>
      <c r="I222" s="97"/>
      <c r="J222" s="97">
        <v>30</v>
      </c>
      <c r="K222" s="97"/>
      <c r="L222" s="97"/>
      <c r="M222" s="97"/>
      <c r="N222" s="145">
        <f t="shared" ref="N222:N228" si="9">SUM(I222:M222)</f>
        <v>30</v>
      </c>
      <c r="O222" s="98">
        <v>110</v>
      </c>
      <c r="P222" s="95" t="s">
        <v>520</v>
      </c>
      <c r="Q222" s="79">
        <v>45845</v>
      </c>
      <c r="R222" s="1"/>
    </row>
    <row r="223" spans="1:18" ht="15.75" customHeight="1" x14ac:dyDescent="0.2">
      <c r="A223" s="2" t="s">
        <v>1245</v>
      </c>
      <c r="B223" s="229" t="s">
        <v>1236</v>
      </c>
      <c r="C223" s="95" t="s">
        <v>1246</v>
      </c>
      <c r="D223" s="3" t="s">
        <v>33</v>
      </c>
      <c r="E223" s="95" t="s">
        <v>436</v>
      </c>
      <c r="F223" s="95" t="s">
        <v>406</v>
      </c>
      <c r="G223" s="101">
        <v>45841</v>
      </c>
      <c r="H223" s="95" t="s">
        <v>40</v>
      </c>
      <c r="I223" s="97"/>
      <c r="J223" s="97"/>
      <c r="K223" s="97"/>
      <c r="L223" s="97">
        <v>27</v>
      </c>
      <c r="M223" s="97"/>
      <c r="N223" s="145">
        <f t="shared" si="9"/>
        <v>27</v>
      </c>
      <c r="O223" s="98">
        <v>117</v>
      </c>
      <c r="P223" s="95" t="s">
        <v>520</v>
      </c>
      <c r="Q223" s="79">
        <v>45845</v>
      </c>
      <c r="R223" s="1"/>
    </row>
    <row r="224" spans="1:18" ht="15.75" customHeight="1" x14ac:dyDescent="0.2">
      <c r="A224" s="2" t="s">
        <v>1248</v>
      </c>
      <c r="B224" s="229" t="s">
        <v>1237</v>
      </c>
      <c r="C224" s="95" t="s">
        <v>1247</v>
      </c>
      <c r="D224" s="3" t="s">
        <v>383</v>
      </c>
      <c r="E224" s="95" t="s">
        <v>436</v>
      </c>
      <c r="F224" s="95" t="s">
        <v>406</v>
      </c>
      <c r="G224" s="95"/>
      <c r="H224" s="95" t="s">
        <v>40</v>
      </c>
      <c r="I224" s="97"/>
      <c r="J224" s="97">
        <v>74.599999999999994</v>
      </c>
      <c r="K224" s="97"/>
      <c r="L224" s="97"/>
      <c r="M224" s="97"/>
      <c r="N224" s="145">
        <f t="shared" si="9"/>
        <v>74.599999999999994</v>
      </c>
      <c r="O224" s="98">
        <v>174.6</v>
      </c>
      <c r="P224" s="95" t="s">
        <v>520</v>
      </c>
      <c r="Q224" s="79">
        <v>45845</v>
      </c>
      <c r="R224" s="1"/>
    </row>
    <row r="225" spans="1:18" ht="15.75" customHeight="1" x14ac:dyDescent="0.2">
      <c r="A225" s="2" t="s">
        <v>1188</v>
      </c>
      <c r="B225" s="229" t="s">
        <v>1238</v>
      </c>
      <c r="C225" s="95" t="s">
        <v>1189</v>
      </c>
      <c r="D225" s="3" t="s">
        <v>26</v>
      </c>
      <c r="E225" s="95" t="s">
        <v>436</v>
      </c>
      <c r="F225" s="95" t="s">
        <v>406</v>
      </c>
      <c r="G225" s="95"/>
      <c r="H225" s="95" t="s">
        <v>40</v>
      </c>
      <c r="I225" s="97">
        <v>180</v>
      </c>
      <c r="J225" s="97"/>
      <c r="K225" s="97"/>
      <c r="L225" s="97"/>
      <c r="M225" s="97"/>
      <c r="N225" s="145">
        <f t="shared" si="9"/>
        <v>180</v>
      </c>
      <c r="O225" s="98">
        <v>180</v>
      </c>
      <c r="P225" s="95" t="s">
        <v>520</v>
      </c>
      <c r="Q225" s="79">
        <v>45847</v>
      </c>
      <c r="R225" s="1"/>
    </row>
    <row r="226" spans="1:18" ht="15.75" customHeight="1" x14ac:dyDescent="0.2">
      <c r="A226" s="2" t="s">
        <v>1253</v>
      </c>
      <c r="B226" s="229" t="s">
        <v>1239</v>
      </c>
      <c r="C226" s="95" t="s">
        <v>1254</v>
      </c>
      <c r="D226" s="3" t="s">
        <v>26</v>
      </c>
      <c r="E226" s="95" t="s">
        <v>436</v>
      </c>
      <c r="F226" s="95" t="s">
        <v>406</v>
      </c>
      <c r="G226" s="101">
        <v>45845</v>
      </c>
      <c r="H226" s="95" t="s">
        <v>40</v>
      </c>
      <c r="I226" s="97"/>
      <c r="J226" s="97">
        <v>40</v>
      </c>
      <c r="K226" s="97"/>
      <c r="L226" s="97"/>
      <c r="M226" s="97"/>
      <c r="N226" s="145">
        <f t="shared" si="9"/>
        <v>40</v>
      </c>
      <c r="O226" s="98">
        <v>40</v>
      </c>
      <c r="P226" s="95" t="s">
        <v>948</v>
      </c>
      <c r="Q226" s="79">
        <v>45848</v>
      </c>
      <c r="R226" s="1"/>
    </row>
    <row r="227" spans="1:18" ht="15.75" customHeight="1" x14ac:dyDescent="0.2">
      <c r="A227" s="2" t="s">
        <v>1256</v>
      </c>
      <c r="B227" s="229" t="s">
        <v>1249</v>
      </c>
      <c r="C227" s="95" t="s">
        <v>1255</v>
      </c>
      <c r="D227" s="3" t="s">
        <v>26</v>
      </c>
      <c r="E227" s="95" t="s">
        <v>458</v>
      </c>
      <c r="F227" s="95" t="s">
        <v>406</v>
      </c>
      <c r="G227" s="101">
        <v>45848</v>
      </c>
      <c r="H227" s="95" t="s">
        <v>40</v>
      </c>
      <c r="I227" s="97">
        <v>200</v>
      </c>
      <c r="J227" s="97">
        <v>50</v>
      </c>
      <c r="K227" s="97">
        <v>50</v>
      </c>
      <c r="L227" s="97">
        <v>50</v>
      </c>
      <c r="M227" s="97"/>
      <c r="N227" s="145">
        <f t="shared" si="9"/>
        <v>350</v>
      </c>
      <c r="O227" s="98">
        <v>388.5</v>
      </c>
      <c r="P227" s="95" t="s">
        <v>520</v>
      </c>
      <c r="Q227" s="79">
        <v>45848</v>
      </c>
      <c r="R227" s="1"/>
    </row>
    <row r="228" spans="1:18" ht="15.75" customHeight="1" x14ac:dyDescent="0.2">
      <c r="A228" s="2" t="s">
        <v>1258</v>
      </c>
      <c r="B228" s="229" t="s">
        <v>1250</v>
      </c>
      <c r="C228" s="95" t="s">
        <v>1170</v>
      </c>
      <c r="D228" s="3" t="s">
        <v>26</v>
      </c>
      <c r="E228" s="95" t="s">
        <v>449</v>
      </c>
      <c r="F228" s="95" t="s">
        <v>406</v>
      </c>
      <c r="G228" s="101">
        <v>45847</v>
      </c>
      <c r="H228" s="95" t="s">
        <v>40</v>
      </c>
      <c r="I228" s="97"/>
      <c r="J228" s="97">
        <v>100</v>
      </c>
      <c r="K228" s="97"/>
      <c r="L228" s="97">
        <v>80</v>
      </c>
      <c r="M228" s="97"/>
      <c r="N228" s="145">
        <f t="shared" si="9"/>
        <v>180</v>
      </c>
      <c r="O228" s="98">
        <v>230</v>
      </c>
      <c r="P228" s="95" t="s">
        <v>948</v>
      </c>
      <c r="Q228" s="79">
        <v>45848</v>
      </c>
      <c r="R228" s="1"/>
    </row>
    <row r="229" spans="1:18" ht="15.75" customHeight="1" x14ac:dyDescent="0.2">
      <c r="A229" s="2" t="s">
        <v>1186</v>
      </c>
      <c r="B229" s="229" t="s">
        <v>1251</v>
      </c>
      <c r="C229" s="95" t="s">
        <v>1259</v>
      </c>
      <c r="D229" s="3" t="s">
        <v>26</v>
      </c>
      <c r="E229" s="95" t="s">
        <v>449</v>
      </c>
      <c r="F229" s="95" t="s">
        <v>461</v>
      </c>
      <c r="G229" s="101">
        <v>45847</v>
      </c>
      <c r="H229" s="95" t="s">
        <v>40</v>
      </c>
      <c r="I229" s="97"/>
      <c r="J229" s="97">
        <v>60</v>
      </c>
      <c r="K229" s="97"/>
      <c r="L229" s="97"/>
      <c r="M229" s="97"/>
      <c r="N229" s="145">
        <v>150</v>
      </c>
      <c r="O229" s="98">
        <v>150</v>
      </c>
      <c r="P229" s="95" t="s">
        <v>948</v>
      </c>
      <c r="Q229" s="79">
        <v>45848</v>
      </c>
      <c r="R229" s="1"/>
    </row>
    <row r="230" spans="1:18" ht="15.75" customHeight="1" x14ac:dyDescent="0.2">
      <c r="A230" s="2" t="s">
        <v>1025</v>
      </c>
      <c r="B230" s="229" t="s">
        <v>1252</v>
      </c>
      <c r="C230" s="95" t="s">
        <v>1260</v>
      </c>
      <c r="D230" s="3" t="s">
        <v>26</v>
      </c>
      <c r="E230" s="95" t="s">
        <v>445</v>
      </c>
      <c r="F230" s="95" t="s">
        <v>406</v>
      </c>
      <c r="G230" s="101">
        <v>45842</v>
      </c>
      <c r="H230" s="95" t="s">
        <v>40</v>
      </c>
      <c r="I230" s="97">
        <v>63</v>
      </c>
      <c r="J230" s="97"/>
      <c r="K230" s="97"/>
      <c r="L230" s="97"/>
      <c r="M230" s="97"/>
      <c r="N230" s="145">
        <f t="shared" ref="N230:N235" si="10">SUM(I230:M230)</f>
        <v>63</v>
      </c>
      <c r="O230" s="98">
        <v>133</v>
      </c>
      <c r="P230" s="95" t="s">
        <v>466</v>
      </c>
      <c r="Q230" s="79">
        <v>45848</v>
      </c>
      <c r="R230" s="1"/>
    </row>
    <row r="231" spans="1:18" ht="15.75" customHeight="1" x14ac:dyDescent="0.2">
      <c r="A231" s="2" t="s">
        <v>1269</v>
      </c>
      <c r="B231" s="229" t="s">
        <v>1262</v>
      </c>
      <c r="C231" s="95" t="s">
        <v>1261</v>
      </c>
      <c r="D231" s="3" t="s">
        <v>26</v>
      </c>
      <c r="E231" s="95"/>
      <c r="F231" s="95" t="s">
        <v>406</v>
      </c>
      <c r="G231" s="101">
        <v>45846</v>
      </c>
      <c r="H231" s="95" t="s">
        <v>40</v>
      </c>
      <c r="I231" s="97">
        <v>54</v>
      </c>
      <c r="J231" s="97"/>
      <c r="K231" s="97"/>
      <c r="L231" s="97"/>
      <c r="M231" s="97"/>
      <c r="N231" s="145">
        <f t="shared" si="10"/>
        <v>54</v>
      </c>
      <c r="O231" s="98">
        <v>124</v>
      </c>
      <c r="P231" s="95" t="s">
        <v>520</v>
      </c>
      <c r="Q231" s="79">
        <v>45848</v>
      </c>
      <c r="R231" s="1"/>
    </row>
    <row r="232" spans="1:18" ht="15.75" customHeight="1" x14ac:dyDescent="0.2">
      <c r="A232" s="2" t="s">
        <v>1067</v>
      </c>
      <c r="B232" s="229" t="s">
        <v>1263</v>
      </c>
      <c r="C232" s="95" t="s">
        <v>1270</v>
      </c>
      <c r="D232" s="3" t="s">
        <v>33</v>
      </c>
      <c r="E232" s="95" t="s">
        <v>436</v>
      </c>
      <c r="F232" s="95" t="s">
        <v>1126</v>
      </c>
      <c r="G232" s="101">
        <v>45847</v>
      </c>
      <c r="H232" s="95" t="s">
        <v>40</v>
      </c>
      <c r="I232" s="97">
        <v>53</v>
      </c>
      <c r="J232" s="97"/>
      <c r="K232" s="97"/>
      <c r="L232" s="97"/>
      <c r="M232" s="97"/>
      <c r="N232" s="145">
        <f t="shared" si="10"/>
        <v>53</v>
      </c>
      <c r="O232" s="98">
        <v>143</v>
      </c>
      <c r="P232" s="95" t="s">
        <v>520</v>
      </c>
      <c r="Q232" s="79">
        <v>45848</v>
      </c>
      <c r="R232" s="1"/>
    </row>
    <row r="233" spans="1:18" ht="34.5" customHeight="1" x14ac:dyDescent="0.2">
      <c r="A233" s="57" t="s">
        <v>1272</v>
      </c>
      <c r="B233" s="229" t="s">
        <v>1264</v>
      </c>
      <c r="C233" s="95" t="s">
        <v>1271</v>
      </c>
      <c r="D233" s="77" t="s">
        <v>26</v>
      </c>
      <c r="E233" s="95" t="s">
        <v>1231</v>
      </c>
      <c r="F233" s="95" t="s">
        <v>1126</v>
      </c>
      <c r="G233" s="101">
        <v>45847</v>
      </c>
      <c r="H233" s="95" t="s">
        <v>40</v>
      </c>
      <c r="I233" s="97">
        <v>40</v>
      </c>
      <c r="J233" s="97"/>
      <c r="K233" s="97"/>
      <c r="L233" s="97"/>
      <c r="M233" s="97"/>
      <c r="N233" s="145">
        <f t="shared" si="10"/>
        <v>40</v>
      </c>
      <c r="O233" s="98">
        <v>110</v>
      </c>
      <c r="P233" s="95" t="s">
        <v>466</v>
      </c>
      <c r="Q233" s="79">
        <v>45848</v>
      </c>
      <c r="R233" s="1"/>
    </row>
    <row r="234" spans="1:18" ht="15.75" customHeight="1" x14ac:dyDescent="0.2">
      <c r="A234" s="2" t="s">
        <v>1274</v>
      </c>
      <c r="B234" s="229" t="s">
        <v>1265</v>
      </c>
      <c r="C234" s="95" t="s">
        <v>1273</v>
      </c>
      <c r="D234" s="3" t="s">
        <v>26</v>
      </c>
      <c r="E234" s="95"/>
      <c r="F234" s="95" t="s">
        <v>406</v>
      </c>
      <c r="G234" s="101">
        <v>45847</v>
      </c>
      <c r="H234" s="95" t="s">
        <v>40</v>
      </c>
      <c r="I234" s="97"/>
      <c r="J234" s="97">
        <v>141.1</v>
      </c>
      <c r="K234" s="97"/>
      <c r="L234" s="97"/>
      <c r="M234" s="97"/>
      <c r="N234" s="145">
        <f t="shared" si="10"/>
        <v>141.1</v>
      </c>
      <c r="O234" s="98">
        <v>141.1</v>
      </c>
      <c r="P234" s="95" t="s">
        <v>1190</v>
      </c>
      <c r="Q234" s="79">
        <v>45848</v>
      </c>
      <c r="R234" s="1"/>
    </row>
    <row r="235" spans="1:18" ht="15.75" customHeight="1" x14ac:dyDescent="0.2">
      <c r="A235" s="2" t="s">
        <v>1276</v>
      </c>
      <c r="B235" s="229" t="s">
        <v>1266</v>
      </c>
      <c r="C235" s="95" t="s">
        <v>1275</v>
      </c>
      <c r="D235" s="3" t="s">
        <v>26</v>
      </c>
      <c r="E235" s="95"/>
      <c r="F235" s="95" t="s">
        <v>406</v>
      </c>
      <c r="G235" s="101">
        <v>45848</v>
      </c>
      <c r="H235" s="95" t="s">
        <v>40</v>
      </c>
      <c r="I235" s="97"/>
      <c r="J235" s="97">
        <v>31</v>
      </c>
      <c r="K235" s="97"/>
      <c r="L235" s="97"/>
      <c r="M235" s="97"/>
      <c r="N235" s="145">
        <f t="shared" si="10"/>
        <v>31</v>
      </c>
      <c r="O235" s="98">
        <v>111</v>
      </c>
      <c r="P235" s="95" t="s">
        <v>520</v>
      </c>
      <c r="Q235" s="79">
        <v>45849</v>
      </c>
      <c r="R235" s="1"/>
    </row>
    <row r="236" spans="1:18" ht="30.75" customHeight="1" x14ac:dyDescent="0.2">
      <c r="A236" s="57" t="s">
        <v>1279</v>
      </c>
      <c r="B236" s="229" t="s">
        <v>1267</v>
      </c>
      <c r="C236" s="99" t="s">
        <v>1277</v>
      </c>
      <c r="D236" s="77" t="s">
        <v>39</v>
      </c>
      <c r="E236" s="95" t="s">
        <v>436</v>
      </c>
      <c r="F236" s="95" t="s">
        <v>1126</v>
      </c>
      <c r="G236" s="99" t="s">
        <v>1278</v>
      </c>
      <c r="H236" s="95" t="s">
        <v>40</v>
      </c>
      <c r="I236" s="97"/>
      <c r="J236" s="97">
        <v>174.7</v>
      </c>
      <c r="K236" s="97"/>
      <c r="L236" s="97">
        <v>30</v>
      </c>
      <c r="M236" s="97"/>
      <c r="N236" s="98">
        <v>384.7</v>
      </c>
      <c r="O236" s="98">
        <v>384.7</v>
      </c>
      <c r="P236" s="95" t="s">
        <v>520</v>
      </c>
      <c r="Q236" s="79">
        <v>45853</v>
      </c>
      <c r="R236" s="1"/>
    </row>
    <row r="237" spans="1:18" ht="15.75" customHeight="1" x14ac:dyDescent="0.2">
      <c r="A237" s="2" t="s">
        <v>1054</v>
      </c>
      <c r="B237" s="229" t="s">
        <v>1268</v>
      </c>
      <c r="C237" s="95" t="s">
        <v>1280</v>
      </c>
      <c r="D237" s="77" t="s">
        <v>26</v>
      </c>
      <c r="E237" s="95" t="s">
        <v>436</v>
      </c>
      <c r="F237" s="95" t="s">
        <v>1126</v>
      </c>
      <c r="G237" s="101">
        <v>45850</v>
      </c>
      <c r="H237" s="95" t="s">
        <v>40</v>
      </c>
      <c r="I237" s="97"/>
      <c r="J237" s="97">
        <v>113</v>
      </c>
      <c r="K237" s="97"/>
      <c r="L237" s="97"/>
      <c r="M237" s="97"/>
      <c r="N237" s="145">
        <f t="shared" ref="N237:N247" si="11">SUM(I237:M237)</f>
        <v>113</v>
      </c>
      <c r="O237" s="145">
        <v>183</v>
      </c>
      <c r="P237" s="95" t="s">
        <v>466</v>
      </c>
      <c r="Q237" s="79">
        <v>45853</v>
      </c>
      <c r="R237" s="1"/>
    </row>
    <row r="238" spans="1:18" ht="33" customHeight="1" x14ac:dyDescent="0.2">
      <c r="A238" s="57" t="s">
        <v>1287</v>
      </c>
      <c r="B238" s="229" t="s">
        <v>1281</v>
      </c>
      <c r="C238" s="99" t="s">
        <v>1284</v>
      </c>
      <c r="D238" s="77" t="s">
        <v>1359</v>
      </c>
      <c r="E238" s="99" t="s">
        <v>1288</v>
      </c>
      <c r="F238" s="95" t="s">
        <v>406</v>
      </c>
      <c r="G238" s="95"/>
      <c r="H238" s="95" t="s">
        <v>40</v>
      </c>
      <c r="I238" s="97"/>
      <c r="J238" s="97">
        <v>261</v>
      </c>
      <c r="K238" s="97"/>
      <c r="L238" s="97">
        <v>64</v>
      </c>
      <c r="M238" s="97"/>
      <c r="N238" s="145">
        <f t="shared" si="11"/>
        <v>325</v>
      </c>
      <c r="O238" s="98">
        <v>325</v>
      </c>
      <c r="P238" s="95" t="s">
        <v>429</v>
      </c>
      <c r="Q238" s="79">
        <v>45853</v>
      </c>
      <c r="R238" s="1"/>
    </row>
    <row r="239" spans="1:18" ht="15.75" customHeight="1" x14ac:dyDescent="0.2">
      <c r="A239" s="2" t="s">
        <v>1110</v>
      </c>
      <c r="B239" s="229" t="s">
        <v>1282</v>
      </c>
      <c r="C239" s="95" t="s">
        <v>1289</v>
      </c>
      <c r="D239" s="95" t="s">
        <v>26</v>
      </c>
      <c r="E239" s="95" t="s">
        <v>661</v>
      </c>
      <c r="F239" s="95" t="s">
        <v>406</v>
      </c>
      <c r="G239" s="101">
        <v>45853</v>
      </c>
      <c r="H239" s="95" t="s">
        <v>40</v>
      </c>
      <c r="I239" s="97">
        <v>170</v>
      </c>
      <c r="J239" s="97"/>
      <c r="K239" s="97"/>
      <c r="L239" s="97"/>
      <c r="M239" s="97"/>
      <c r="N239" s="145">
        <f t="shared" si="11"/>
        <v>170</v>
      </c>
      <c r="O239" s="103">
        <v>0</v>
      </c>
      <c r="P239" s="95" t="s">
        <v>520</v>
      </c>
      <c r="Q239" s="79">
        <v>45854</v>
      </c>
      <c r="R239" s="1"/>
    </row>
    <row r="240" spans="1:18" ht="15.75" customHeight="1" x14ac:dyDescent="0.2">
      <c r="A240" s="2" t="s">
        <v>1291</v>
      </c>
      <c r="B240" s="229" t="s">
        <v>1283</v>
      </c>
      <c r="C240" s="95" t="s">
        <v>1290</v>
      </c>
      <c r="D240" s="95" t="s">
        <v>26</v>
      </c>
      <c r="E240" s="95" t="s">
        <v>1292</v>
      </c>
      <c r="F240" s="95" t="s">
        <v>406</v>
      </c>
      <c r="G240" s="101">
        <v>45853</v>
      </c>
      <c r="H240" s="95" t="s">
        <v>40</v>
      </c>
      <c r="I240" s="97"/>
      <c r="J240" s="97">
        <v>50</v>
      </c>
      <c r="K240" s="97"/>
      <c r="L240" s="97"/>
      <c r="M240" s="97"/>
      <c r="N240" s="145">
        <f t="shared" si="11"/>
        <v>50</v>
      </c>
      <c r="O240" s="98">
        <v>50</v>
      </c>
      <c r="P240" s="95" t="s">
        <v>948</v>
      </c>
      <c r="Q240" s="79">
        <v>45854</v>
      </c>
      <c r="R240" s="1"/>
    </row>
    <row r="241" spans="1:18" ht="15.75" customHeight="1" x14ac:dyDescent="0.2">
      <c r="A241" s="2" t="s">
        <v>1294</v>
      </c>
      <c r="B241" s="229" t="s">
        <v>1285</v>
      </c>
      <c r="C241" s="95" t="s">
        <v>1293</v>
      </c>
      <c r="D241" s="95" t="s">
        <v>383</v>
      </c>
      <c r="E241" s="95" t="s">
        <v>413</v>
      </c>
      <c r="F241" s="95" t="s">
        <v>406</v>
      </c>
      <c r="G241" s="95"/>
      <c r="H241" s="95" t="s">
        <v>40</v>
      </c>
      <c r="I241" s="97"/>
      <c r="J241" s="97">
        <v>137</v>
      </c>
      <c r="K241" s="97"/>
      <c r="L241" s="97"/>
      <c r="M241" s="97"/>
      <c r="N241" s="145">
        <f t="shared" si="11"/>
        <v>137</v>
      </c>
      <c r="O241" s="98">
        <v>207</v>
      </c>
      <c r="P241" s="95" t="s">
        <v>520</v>
      </c>
      <c r="Q241" s="79">
        <v>45856</v>
      </c>
      <c r="R241" s="1"/>
    </row>
    <row r="242" spans="1:18" ht="15.75" customHeight="1" x14ac:dyDescent="0.2">
      <c r="A242" s="2" t="s">
        <v>1296</v>
      </c>
      <c r="B242" s="229" t="s">
        <v>1286</v>
      </c>
      <c r="C242" s="95" t="s">
        <v>1295</v>
      </c>
      <c r="D242" s="95" t="s">
        <v>26</v>
      </c>
      <c r="E242" s="95" t="s">
        <v>710</v>
      </c>
      <c r="F242" s="95" t="s">
        <v>406</v>
      </c>
      <c r="G242" s="95"/>
      <c r="H242" s="95" t="s">
        <v>40</v>
      </c>
      <c r="I242" s="97"/>
      <c r="J242" s="97">
        <v>45</v>
      </c>
      <c r="K242" s="97"/>
      <c r="L242" s="97"/>
      <c r="M242" s="97"/>
      <c r="N242" s="145">
        <f t="shared" si="11"/>
        <v>45</v>
      </c>
      <c r="O242" s="98">
        <v>135</v>
      </c>
      <c r="P242" s="95" t="s">
        <v>520</v>
      </c>
      <c r="Q242" s="79">
        <v>45856</v>
      </c>
      <c r="R242" s="1"/>
    </row>
    <row r="243" spans="1:18" ht="15.75" customHeight="1" x14ac:dyDescent="0.2">
      <c r="A243" s="57" t="s">
        <v>954</v>
      </c>
      <c r="B243" s="229" t="s">
        <v>1297</v>
      </c>
      <c r="C243" s="95" t="s">
        <v>1300</v>
      </c>
      <c r="D243" s="99" t="s">
        <v>26</v>
      </c>
      <c r="E243" s="95" t="s">
        <v>449</v>
      </c>
      <c r="F243" s="95" t="s">
        <v>461</v>
      </c>
      <c r="G243" s="101">
        <v>45854</v>
      </c>
      <c r="H243" s="95" t="s">
        <v>40</v>
      </c>
      <c r="I243" s="97"/>
      <c r="J243" s="97">
        <v>80</v>
      </c>
      <c r="K243" s="97"/>
      <c r="L243" s="97"/>
      <c r="M243" s="97"/>
      <c r="N243" s="145">
        <f t="shared" si="11"/>
        <v>80</v>
      </c>
      <c r="O243" s="145">
        <v>141</v>
      </c>
      <c r="P243" s="95" t="s">
        <v>520</v>
      </c>
      <c r="Q243" s="79">
        <v>45856</v>
      </c>
      <c r="R243" s="1"/>
    </row>
    <row r="244" spans="1:18" ht="60.75" customHeight="1" x14ac:dyDescent="0.2">
      <c r="A244" s="57" t="s">
        <v>1302</v>
      </c>
      <c r="B244" s="229" t="s">
        <v>1298</v>
      </c>
      <c r="C244" s="99" t="s">
        <v>1301</v>
      </c>
      <c r="D244" s="99" t="s">
        <v>1356</v>
      </c>
      <c r="E244" s="99" t="s">
        <v>1303</v>
      </c>
      <c r="F244" s="95" t="s">
        <v>406</v>
      </c>
      <c r="G244" s="95"/>
      <c r="H244" s="95" t="s">
        <v>40</v>
      </c>
      <c r="I244" s="97"/>
      <c r="J244" s="97">
        <v>183</v>
      </c>
      <c r="K244" s="97"/>
      <c r="L244" s="97">
        <v>43</v>
      </c>
      <c r="M244" s="97"/>
      <c r="N244" s="145">
        <f t="shared" si="11"/>
        <v>226</v>
      </c>
      <c r="O244" s="145">
        <v>226</v>
      </c>
      <c r="P244" s="95" t="s">
        <v>489</v>
      </c>
      <c r="Q244" s="79">
        <v>45856</v>
      </c>
      <c r="R244" s="1"/>
    </row>
    <row r="245" spans="1:18" ht="15.75" customHeight="1" x14ac:dyDescent="0.2">
      <c r="A245" s="2" t="s">
        <v>1067</v>
      </c>
      <c r="B245" s="229" t="s">
        <v>1299</v>
      </c>
      <c r="C245" s="95" t="s">
        <v>1304</v>
      </c>
      <c r="D245" s="95" t="s">
        <v>33</v>
      </c>
      <c r="E245" s="95" t="s">
        <v>436</v>
      </c>
      <c r="F245" s="95" t="s">
        <v>406</v>
      </c>
      <c r="G245" s="101">
        <v>45855</v>
      </c>
      <c r="H245" s="95" t="s">
        <v>40</v>
      </c>
      <c r="I245" s="97"/>
      <c r="J245" s="97">
        <v>51</v>
      </c>
      <c r="K245" s="97"/>
      <c r="L245" s="97"/>
      <c r="M245" s="97"/>
      <c r="N245" s="145">
        <f t="shared" si="11"/>
        <v>51</v>
      </c>
      <c r="O245" s="98">
        <v>141</v>
      </c>
      <c r="P245" s="95" t="s">
        <v>520</v>
      </c>
      <c r="Q245" s="79">
        <v>45857</v>
      </c>
      <c r="R245" s="1"/>
    </row>
    <row r="246" spans="1:18" ht="47.25" customHeight="1" x14ac:dyDescent="0.2">
      <c r="A246" s="57" t="s">
        <v>1311</v>
      </c>
      <c r="B246" s="229" t="s">
        <v>1305</v>
      </c>
      <c r="C246" s="99" t="s">
        <v>1310</v>
      </c>
      <c r="D246" s="99" t="s">
        <v>1356</v>
      </c>
      <c r="E246" s="95" t="s">
        <v>436</v>
      </c>
      <c r="F246" s="95" t="s">
        <v>406</v>
      </c>
      <c r="G246" s="95"/>
      <c r="H246" s="95" t="s">
        <v>40</v>
      </c>
      <c r="I246" s="97"/>
      <c r="J246" s="97">
        <v>193.7</v>
      </c>
      <c r="K246" s="97"/>
      <c r="L246" s="97">
        <v>30</v>
      </c>
      <c r="M246" s="97"/>
      <c r="N246" s="145">
        <f t="shared" si="11"/>
        <v>223.7</v>
      </c>
      <c r="O246" s="98">
        <v>223.7</v>
      </c>
      <c r="P246" s="95" t="s">
        <v>1190</v>
      </c>
      <c r="Q246" s="79">
        <v>45857</v>
      </c>
      <c r="R246" s="1"/>
    </row>
    <row r="247" spans="1:18" ht="30" customHeight="1" x14ac:dyDescent="0.2">
      <c r="A247" s="57" t="s">
        <v>1313</v>
      </c>
      <c r="B247" s="229" t="s">
        <v>1306</v>
      </c>
      <c r="C247" s="99" t="s">
        <v>1312</v>
      </c>
      <c r="D247" s="99" t="s">
        <v>26</v>
      </c>
      <c r="E247" s="95" t="s">
        <v>436</v>
      </c>
      <c r="F247" s="95" t="s">
        <v>406</v>
      </c>
      <c r="G247" s="95"/>
      <c r="H247" s="95" t="s">
        <v>40</v>
      </c>
      <c r="I247" s="97"/>
      <c r="J247" s="97">
        <v>112.5</v>
      </c>
      <c r="K247" s="97"/>
      <c r="L247" s="97"/>
      <c r="M247" s="97"/>
      <c r="N247" s="145">
        <f t="shared" si="11"/>
        <v>112.5</v>
      </c>
      <c r="O247" s="98">
        <v>112.5</v>
      </c>
      <c r="P247" s="95" t="s">
        <v>429</v>
      </c>
      <c r="Q247" s="79">
        <v>45857</v>
      </c>
      <c r="R247" s="1"/>
    </row>
    <row r="248" spans="1:18" ht="47.25" customHeight="1" x14ac:dyDescent="0.2">
      <c r="A248" s="57" t="s">
        <v>1315</v>
      </c>
      <c r="B248" s="229" t="s">
        <v>1307</v>
      </c>
      <c r="C248" s="99" t="s">
        <v>1314</v>
      </c>
      <c r="D248" s="99" t="s">
        <v>1356</v>
      </c>
      <c r="E248" s="95" t="s">
        <v>436</v>
      </c>
      <c r="F248" s="95" t="s">
        <v>406</v>
      </c>
      <c r="G248" s="95"/>
      <c r="H248" s="95" t="s">
        <v>40</v>
      </c>
      <c r="I248" s="97"/>
      <c r="J248" s="97"/>
      <c r="K248" s="97"/>
      <c r="L248" s="97"/>
      <c r="M248" s="97"/>
      <c r="N248" s="145">
        <v>180.1</v>
      </c>
      <c r="O248" s="98">
        <v>180.7</v>
      </c>
      <c r="P248" s="95" t="s">
        <v>425</v>
      </c>
      <c r="Q248" s="79">
        <v>45857</v>
      </c>
      <c r="R248" s="1"/>
    </row>
    <row r="249" spans="1:18" ht="15.75" customHeight="1" x14ac:dyDescent="0.2">
      <c r="A249" s="2" t="s">
        <v>1317</v>
      </c>
      <c r="B249" s="229" t="s">
        <v>1308</v>
      </c>
      <c r="C249" s="95" t="s">
        <v>1316</v>
      </c>
      <c r="D249" s="95" t="s">
        <v>26</v>
      </c>
      <c r="E249" s="95" t="s">
        <v>436</v>
      </c>
      <c r="F249" s="95" t="s">
        <v>406</v>
      </c>
      <c r="G249" s="95"/>
      <c r="H249" s="95" t="s">
        <v>40</v>
      </c>
      <c r="I249" s="97"/>
      <c r="J249" s="97">
        <v>60</v>
      </c>
      <c r="K249" s="97"/>
      <c r="L249" s="97"/>
      <c r="M249" s="97"/>
      <c r="N249" s="145">
        <f>SUM(J249:M249)</f>
        <v>60</v>
      </c>
      <c r="O249" s="98">
        <v>130</v>
      </c>
      <c r="P249" s="95" t="s">
        <v>520</v>
      </c>
      <c r="Q249" s="79">
        <v>45862</v>
      </c>
      <c r="R249" s="1"/>
    </row>
    <row r="250" spans="1:18" ht="34.5" customHeight="1" x14ac:dyDescent="0.2">
      <c r="A250" s="57" t="s">
        <v>1320</v>
      </c>
      <c r="B250" s="229" t="s">
        <v>1309</v>
      </c>
      <c r="C250" s="99" t="s">
        <v>1318</v>
      </c>
      <c r="D250" s="99" t="s">
        <v>26</v>
      </c>
      <c r="E250" s="95" t="s">
        <v>436</v>
      </c>
      <c r="F250" s="99" t="s">
        <v>1319</v>
      </c>
      <c r="G250" s="95"/>
      <c r="H250" s="95" t="s">
        <v>40</v>
      </c>
      <c r="I250" s="97"/>
      <c r="J250" s="97">
        <v>335.1</v>
      </c>
      <c r="K250" s="97"/>
      <c r="L250" s="97">
        <v>14</v>
      </c>
      <c r="M250" s="97"/>
      <c r="N250" s="145">
        <f>SUM(J250:M250)</f>
        <v>349.1</v>
      </c>
      <c r="O250" s="98">
        <v>349.1</v>
      </c>
      <c r="P250" s="95" t="s">
        <v>489</v>
      </c>
      <c r="Q250" s="79">
        <v>45863</v>
      </c>
      <c r="R250" s="1"/>
    </row>
    <row r="251" spans="1:18" ht="15.75" customHeight="1" x14ac:dyDescent="0.2">
      <c r="A251" s="2" t="s">
        <v>1296</v>
      </c>
      <c r="B251" s="229" t="s">
        <v>1321</v>
      </c>
      <c r="C251" s="95" t="s">
        <v>1295</v>
      </c>
      <c r="D251" s="95" t="s">
        <v>26</v>
      </c>
      <c r="E251" s="95" t="s">
        <v>436</v>
      </c>
      <c r="F251" s="95" t="s">
        <v>406</v>
      </c>
      <c r="G251" s="101">
        <v>45852</v>
      </c>
      <c r="H251" s="95" t="s">
        <v>40</v>
      </c>
      <c r="I251" s="97"/>
      <c r="J251" s="97">
        <v>26</v>
      </c>
      <c r="K251" s="97"/>
      <c r="L251" s="97"/>
      <c r="M251" s="97"/>
      <c r="N251" s="145">
        <f>SUM(J251:M251)</f>
        <v>26</v>
      </c>
      <c r="O251" s="98">
        <v>26</v>
      </c>
      <c r="P251" s="95" t="s">
        <v>425</v>
      </c>
      <c r="Q251" s="79">
        <v>45863</v>
      </c>
      <c r="R251" s="1"/>
    </row>
    <row r="252" spans="1:18" ht="15.75" customHeight="1" x14ac:dyDescent="0.2">
      <c r="A252" s="2" t="s">
        <v>1326</v>
      </c>
      <c r="B252" s="229" t="s">
        <v>1322</v>
      </c>
      <c r="C252" s="95" t="s">
        <v>1325</v>
      </c>
      <c r="D252" s="95" t="s">
        <v>26</v>
      </c>
      <c r="E252" s="95" t="s">
        <v>436</v>
      </c>
      <c r="F252" s="95" t="s">
        <v>406</v>
      </c>
      <c r="G252" s="95"/>
      <c r="H252" s="95" t="s">
        <v>40</v>
      </c>
      <c r="I252" s="97"/>
      <c r="J252" s="97">
        <v>21.6</v>
      </c>
      <c r="K252" s="97"/>
      <c r="L252" s="97"/>
      <c r="M252" s="97"/>
      <c r="N252" s="145">
        <v>21.6</v>
      </c>
      <c r="O252" s="98">
        <v>21.6</v>
      </c>
      <c r="P252" s="95" t="s">
        <v>489</v>
      </c>
      <c r="Q252" s="79">
        <v>45870</v>
      </c>
      <c r="R252" s="1"/>
    </row>
    <row r="253" spans="1:18" ht="15.75" customHeight="1" x14ac:dyDescent="0.2">
      <c r="A253" s="2" t="s">
        <v>1327</v>
      </c>
      <c r="B253" s="229" t="s">
        <v>1323</v>
      </c>
      <c r="C253" s="95"/>
      <c r="D253" s="95" t="s">
        <v>435</v>
      </c>
      <c r="E253" s="95" t="s">
        <v>436</v>
      </c>
      <c r="F253" s="95" t="s">
        <v>1344</v>
      </c>
      <c r="G253" s="95"/>
      <c r="H253" s="95" t="s">
        <v>40</v>
      </c>
      <c r="I253" s="97">
        <v>165.7</v>
      </c>
      <c r="J253" s="97"/>
      <c r="K253" s="97"/>
      <c r="L253" s="97"/>
      <c r="M253" s="97"/>
      <c r="N253" s="145">
        <f>SUM(I253:M253)</f>
        <v>165.7</v>
      </c>
      <c r="O253" s="98">
        <v>165.7</v>
      </c>
      <c r="P253" s="95" t="s">
        <v>1190</v>
      </c>
      <c r="Q253" s="79">
        <v>45870</v>
      </c>
      <c r="R253" s="1"/>
    </row>
    <row r="254" spans="1:18" ht="15.75" customHeight="1" x14ac:dyDescent="0.2">
      <c r="A254" s="2" t="s">
        <v>737</v>
      </c>
      <c r="B254" s="229" t="s">
        <v>1324</v>
      </c>
      <c r="C254" s="95" t="s">
        <v>1328</v>
      </c>
      <c r="D254" s="95" t="s">
        <v>26</v>
      </c>
      <c r="E254" s="95" t="s">
        <v>661</v>
      </c>
      <c r="F254" s="95" t="s">
        <v>406</v>
      </c>
      <c r="G254" s="95"/>
      <c r="H254" s="95" t="s">
        <v>40</v>
      </c>
      <c r="I254" s="97"/>
      <c r="J254" s="97"/>
      <c r="K254" s="97"/>
      <c r="L254" s="97"/>
      <c r="M254" s="97"/>
      <c r="N254" s="145">
        <v>180</v>
      </c>
      <c r="O254" s="98">
        <v>180</v>
      </c>
      <c r="P254" s="95" t="s">
        <v>520</v>
      </c>
      <c r="Q254" s="79">
        <v>45870</v>
      </c>
      <c r="R254" s="1"/>
    </row>
    <row r="255" spans="1:18" ht="15.75" customHeight="1" x14ac:dyDescent="0.2">
      <c r="A255" s="2" t="s">
        <v>1350</v>
      </c>
      <c r="B255" s="229" t="s">
        <v>1330</v>
      </c>
      <c r="C255" s="95" t="s">
        <v>1329</v>
      </c>
      <c r="D255" s="95" t="s">
        <v>26</v>
      </c>
      <c r="E255" s="95" t="s">
        <v>661</v>
      </c>
      <c r="F255" s="95" t="s">
        <v>406</v>
      </c>
      <c r="G255" s="95"/>
      <c r="H255" s="95" t="s">
        <v>40</v>
      </c>
      <c r="I255" s="97"/>
      <c r="J255" s="97"/>
      <c r="K255" s="97"/>
      <c r="L255" s="97"/>
      <c r="M255" s="97"/>
      <c r="N255" s="145">
        <v>180</v>
      </c>
      <c r="O255" s="98">
        <v>180</v>
      </c>
      <c r="P255" s="95" t="s">
        <v>520</v>
      </c>
      <c r="Q255" s="79">
        <v>45870</v>
      </c>
      <c r="R255" s="1"/>
    </row>
    <row r="256" spans="1:18" ht="30" customHeight="1" x14ac:dyDescent="0.2">
      <c r="A256" s="57" t="s">
        <v>1333</v>
      </c>
      <c r="B256" s="229" t="s">
        <v>1331</v>
      </c>
      <c r="C256" s="95" t="s">
        <v>1332</v>
      </c>
      <c r="D256" s="95" t="s">
        <v>1356</v>
      </c>
      <c r="E256" s="95" t="s">
        <v>436</v>
      </c>
      <c r="F256" s="95" t="s">
        <v>406</v>
      </c>
      <c r="G256" s="95"/>
      <c r="H256" s="95" t="s">
        <v>40</v>
      </c>
      <c r="I256" s="97"/>
      <c r="J256" s="97">
        <v>109</v>
      </c>
      <c r="K256" s="97"/>
      <c r="L256" s="97"/>
      <c r="M256" s="97"/>
      <c r="N256" s="145">
        <f>SUM(I256:M256)</f>
        <v>109</v>
      </c>
      <c r="O256" s="98">
        <v>109</v>
      </c>
      <c r="P256" s="95" t="s">
        <v>1190</v>
      </c>
      <c r="Q256" s="79">
        <v>45873</v>
      </c>
      <c r="R256" s="1"/>
    </row>
    <row r="257" spans="1:18" ht="15.75" customHeight="1" x14ac:dyDescent="0.2">
      <c r="A257" s="2" t="s">
        <v>1256</v>
      </c>
      <c r="B257" s="229" t="s">
        <v>1337</v>
      </c>
      <c r="C257" s="95" t="s">
        <v>1255</v>
      </c>
      <c r="D257" s="95" t="s">
        <v>26</v>
      </c>
      <c r="E257" s="95" t="s">
        <v>458</v>
      </c>
      <c r="F257" s="95" t="s">
        <v>406</v>
      </c>
      <c r="G257" s="95"/>
      <c r="H257" s="95" t="s">
        <v>40</v>
      </c>
      <c r="I257" s="97"/>
      <c r="J257" s="97">
        <v>28.5</v>
      </c>
      <c r="K257" s="97"/>
      <c r="L257" s="97"/>
      <c r="M257" s="97"/>
      <c r="N257" s="145">
        <f>SUM(I257:M257)</f>
        <v>28.5</v>
      </c>
      <c r="O257" s="98">
        <v>98.5</v>
      </c>
      <c r="P257" s="95" t="s">
        <v>520</v>
      </c>
      <c r="Q257" s="79">
        <v>45873</v>
      </c>
      <c r="R257" s="1"/>
    </row>
    <row r="258" spans="1:18" ht="15.75" customHeight="1" x14ac:dyDescent="0.2">
      <c r="A258" s="57" t="s">
        <v>1341</v>
      </c>
      <c r="B258" s="229" t="s">
        <v>1338</v>
      </c>
      <c r="C258" s="95" t="s">
        <v>1332</v>
      </c>
      <c r="D258" s="95" t="s">
        <v>33</v>
      </c>
      <c r="E258" s="95"/>
      <c r="F258" s="95" t="s">
        <v>406</v>
      </c>
      <c r="G258" s="95"/>
      <c r="H258" s="95" t="s">
        <v>40</v>
      </c>
      <c r="I258" s="97"/>
      <c r="J258" s="97">
        <v>31</v>
      </c>
      <c r="K258" s="97"/>
      <c r="L258" s="97"/>
      <c r="M258" s="97"/>
      <c r="N258" s="145">
        <f>SUM(I258:M258)</f>
        <v>31</v>
      </c>
      <c r="O258" s="98">
        <v>31</v>
      </c>
      <c r="P258" s="95" t="s">
        <v>1190</v>
      </c>
      <c r="Q258" s="79">
        <v>45873</v>
      </c>
      <c r="R258" s="1"/>
    </row>
    <row r="259" spans="1:18" ht="15.75" customHeight="1" x14ac:dyDescent="0.2">
      <c r="A259" s="2" t="s">
        <v>686</v>
      </c>
      <c r="B259" s="229" t="s">
        <v>1339</v>
      </c>
      <c r="C259" s="95" t="s">
        <v>1342</v>
      </c>
      <c r="D259" s="95" t="s">
        <v>26</v>
      </c>
      <c r="E259" s="95"/>
      <c r="F259" s="95"/>
      <c r="G259" s="95"/>
      <c r="H259" s="95" t="s">
        <v>40</v>
      </c>
      <c r="I259" s="97"/>
      <c r="J259" s="97">
        <v>170</v>
      </c>
      <c r="K259" s="97"/>
      <c r="L259" s="97"/>
      <c r="M259" s="97"/>
      <c r="N259" s="145">
        <f>SUM(I259:M259)</f>
        <v>170</v>
      </c>
      <c r="O259" s="98">
        <v>170</v>
      </c>
      <c r="P259" s="95" t="s">
        <v>425</v>
      </c>
      <c r="Q259" s="79">
        <v>45873</v>
      </c>
      <c r="R259" s="1"/>
    </row>
    <row r="260" spans="1:18" ht="45.75" customHeight="1" x14ac:dyDescent="0.2">
      <c r="A260" s="57" t="s">
        <v>1349</v>
      </c>
      <c r="B260" s="229" t="s">
        <v>1345</v>
      </c>
      <c r="C260" s="99" t="s">
        <v>1348</v>
      </c>
      <c r="D260" s="99" t="s">
        <v>1356</v>
      </c>
      <c r="E260" s="95" t="s">
        <v>436</v>
      </c>
      <c r="F260" s="95" t="s">
        <v>406</v>
      </c>
      <c r="G260" s="95"/>
      <c r="H260" s="95" t="s">
        <v>41</v>
      </c>
      <c r="I260" s="97"/>
      <c r="J260" s="97"/>
      <c r="K260" s="97"/>
      <c r="L260" s="97"/>
      <c r="M260" s="97"/>
      <c r="N260" s="145">
        <v>143.5</v>
      </c>
      <c r="O260" s="98">
        <v>143</v>
      </c>
      <c r="P260" s="95" t="s">
        <v>489</v>
      </c>
      <c r="Q260" s="79">
        <v>45874</v>
      </c>
      <c r="R260" s="1"/>
    </row>
    <row r="261" spans="1:18" ht="15.75" customHeight="1" x14ac:dyDescent="0.2">
      <c r="A261" s="2" t="s">
        <v>1352</v>
      </c>
      <c r="B261" s="229" t="s">
        <v>1346</v>
      </c>
      <c r="C261" s="95" t="s">
        <v>1351</v>
      </c>
      <c r="D261" s="95" t="s">
        <v>26</v>
      </c>
      <c r="E261" s="95" t="s">
        <v>436</v>
      </c>
      <c r="F261" s="95" t="s">
        <v>406</v>
      </c>
      <c r="G261" s="95"/>
      <c r="H261" s="95" t="s">
        <v>41</v>
      </c>
      <c r="I261" s="97"/>
      <c r="J261" s="97">
        <v>60</v>
      </c>
      <c r="K261" s="97"/>
      <c r="L261" s="97"/>
      <c r="M261" s="97"/>
      <c r="N261" s="145">
        <f t="shared" ref="N261:N268" si="12">SUM(I261:M261)</f>
        <v>60</v>
      </c>
      <c r="O261" s="98">
        <v>130</v>
      </c>
      <c r="P261" s="95" t="s">
        <v>466</v>
      </c>
      <c r="Q261" s="79">
        <v>45874</v>
      </c>
      <c r="R261" s="1"/>
    </row>
    <row r="262" spans="1:18" ht="15.75" customHeight="1" x14ac:dyDescent="0.2">
      <c r="A262" s="2" t="s">
        <v>1032</v>
      </c>
      <c r="B262" s="229" t="s">
        <v>1347</v>
      </c>
      <c r="C262" s="95" t="s">
        <v>1353</v>
      </c>
      <c r="D262" s="95" t="s">
        <v>26</v>
      </c>
      <c r="E262" s="95" t="s">
        <v>436</v>
      </c>
      <c r="F262" s="95" t="s">
        <v>406</v>
      </c>
      <c r="G262" s="95"/>
      <c r="H262" s="95" t="s">
        <v>41</v>
      </c>
      <c r="I262" s="97"/>
      <c r="J262" s="97">
        <v>86.7</v>
      </c>
      <c r="K262" s="97"/>
      <c r="L262" s="97"/>
      <c r="M262" s="97"/>
      <c r="N262" s="145">
        <f t="shared" si="12"/>
        <v>86.7</v>
      </c>
      <c r="O262" s="98">
        <v>86.7</v>
      </c>
      <c r="P262" s="95" t="s">
        <v>489</v>
      </c>
      <c r="Q262" s="79">
        <v>45876</v>
      </c>
      <c r="R262" s="1"/>
    </row>
    <row r="263" spans="1:18" ht="15.75" customHeight="1" x14ac:dyDescent="0.2">
      <c r="A263" s="2" t="s">
        <v>1296</v>
      </c>
      <c r="B263" s="229" t="s">
        <v>1362</v>
      </c>
      <c r="C263" s="95" t="s">
        <v>1295</v>
      </c>
      <c r="D263" s="95" t="s">
        <v>26</v>
      </c>
      <c r="E263" s="95" t="s">
        <v>436</v>
      </c>
      <c r="F263" s="95" t="s">
        <v>406</v>
      </c>
      <c r="G263" s="95"/>
      <c r="H263" s="95" t="s">
        <v>41</v>
      </c>
      <c r="I263" s="97"/>
      <c r="J263" s="97">
        <v>26.5</v>
      </c>
      <c r="K263" s="97"/>
      <c r="L263" s="97"/>
      <c r="M263" s="97"/>
      <c r="N263" s="145">
        <f t="shared" si="12"/>
        <v>26.5</v>
      </c>
      <c r="O263" s="98">
        <v>26.5</v>
      </c>
      <c r="P263" s="95" t="s">
        <v>425</v>
      </c>
      <c r="Q263" s="79">
        <v>45882</v>
      </c>
      <c r="R263" s="1"/>
    </row>
    <row r="264" spans="1:18" ht="15.75" customHeight="1" x14ac:dyDescent="0.2">
      <c r="A264" s="2" t="s">
        <v>1067</v>
      </c>
      <c r="B264" s="229" t="s">
        <v>1363</v>
      </c>
      <c r="C264" s="95" t="s">
        <v>1366</v>
      </c>
      <c r="D264" s="95" t="s">
        <v>33</v>
      </c>
      <c r="E264" s="95" t="s">
        <v>436</v>
      </c>
      <c r="F264" s="95" t="s">
        <v>406</v>
      </c>
      <c r="G264" s="101">
        <v>45880</v>
      </c>
      <c r="H264" s="95" t="s">
        <v>41</v>
      </c>
      <c r="I264" s="97"/>
      <c r="J264" s="97"/>
      <c r="K264" s="97"/>
      <c r="L264" s="97">
        <v>43</v>
      </c>
      <c r="M264" s="97"/>
      <c r="N264" s="145">
        <f t="shared" si="12"/>
        <v>43</v>
      </c>
      <c r="O264" s="98">
        <v>133</v>
      </c>
      <c r="P264" s="95" t="s">
        <v>520</v>
      </c>
      <c r="Q264" s="79">
        <v>45882</v>
      </c>
      <c r="R264" s="1"/>
    </row>
    <row r="265" spans="1:18" s="199" customFormat="1" ht="32.25" customHeight="1" x14ac:dyDescent="0.2">
      <c r="A265" s="246" t="s">
        <v>1372</v>
      </c>
      <c r="B265" s="229" t="s">
        <v>1364</v>
      </c>
      <c r="C265" s="99" t="s">
        <v>1369</v>
      </c>
      <c r="D265" s="95" t="s">
        <v>26</v>
      </c>
      <c r="E265" s="95" t="s">
        <v>1231</v>
      </c>
      <c r="F265" s="95" t="s">
        <v>406</v>
      </c>
      <c r="G265" s="101">
        <v>45880</v>
      </c>
      <c r="H265" s="95" t="s">
        <v>41</v>
      </c>
      <c r="I265" s="97"/>
      <c r="J265" s="97">
        <v>60</v>
      </c>
      <c r="K265" s="97"/>
      <c r="L265" s="97"/>
      <c r="M265" s="97"/>
      <c r="N265" s="145">
        <f t="shared" si="12"/>
        <v>60</v>
      </c>
      <c r="O265" s="98"/>
      <c r="P265" s="95" t="s">
        <v>425</v>
      </c>
      <c r="Q265" s="101">
        <v>45887</v>
      </c>
      <c r="R265" s="1"/>
    </row>
    <row r="266" spans="1:18" s="199" customFormat="1" ht="15.75" customHeight="1" x14ac:dyDescent="0.2">
      <c r="A266" s="245" t="s">
        <v>1124</v>
      </c>
      <c r="B266" s="229" t="s">
        <v>1370</v>
      </c>
      <c r="C266" s="95" t="s">
        <v>1373</v>
      </c>
      <c r="D266" s="95" t="s">
        <v>26</v>
      </c>
      <c r="E266" s="95" t="s">
        <v>1077</v>
      </c>
      <c r="F266" s="95" t="s">
        <v>406</v>
      </c>
      <c r="G266" s="101">
        <v>45882</v>
      </c>
      <c r="H266" s="95" t="s">
        <v>41</v>
      </c>
      <c r="I266" s="97"/>
      <c r="J266" s="97">
        <v>65</v>
      </c>
      <c r="K266" s="97"/>
      <c r="L266" s="97"/>
      <c r="M266" s="97"/>
      <c r="N266" s="145">
        <f t="shared" si="12"/>
        <v>65</v>
      </c>
      <c r="O266" s="98"/>
      <c r="P266" s="95" t="s">
        <v>429</v>
      </c>
      <c r="Q266" s="101">
        <v>45887</v>
      </c>
      <c r="R266" s="1"/>
    </row>
    <row r="267" spans="1:18" s="43" customFormat="1" ht="31.5" customHeight="1" x14ac:dyDescent="0.2">
      <c r="A267" s="246" t="s">
        <v>1376</v>
      </c>
      <c r="B267" s="229" t="s">
        <v>1371</v>
      </c>
      <c r="C267" s="99" t="s">
        <v>1375</v>
      </c>
      <c r="D267" s="95" t="s">
        <v>26</v>
      </c>
      <c r="E267" s="95" t="s">
        <v>661</v>
      </c>
      <c r="F267" s="95" t="s">
        <v>406</v>
      </c>
      <c r="G267" s="101">
        <v>45887</v>
      </c>
      <c r="H267" s="95" t="s">
        <v>41</v>
      </c>
      <c r="I267" s="97">
        <v>120</v>
      </c>
      <c r="J267" s="97">
        <v>50</v>
      </c>
      <c r="K267" s="97"/>
      <c r="L267" s="97">
        <v>80</v>
      </c>
      <c r="M267" s="97">
        <v>70</v>
      </c>
      <c r="N267" s="145">
        <f t="shared" si="12"/>
        <v>320</v>
      </c>
      <c r="O267" s="98"/>
      <c r="P267" s="95" t="s">
        <v>425</v>
      </c>
      <c r="Q267" s="101">
        <v>45888</v>
      </c>
      <c r="R267" s="42"/>
    </row>
    <row r="268" spans="1:18" ht="15.75" customHeight="1" x14ac:dyDescent="0.2">
      <c r="A268" s="245" t="s">
        <v>1067</v>
      </c>
      <c r="B268" s="229" t="s">
        <v>1377</v>
      </c>
      <c r="C268" s="95" t="s">
        <v>1380</v>
      </c>
      <c r="D268" s="95" t="s">
        <v>33</v>
      </c>
      <c r="E268" s="95" t="s">
        <v>436</v>
      </c>
      <c r="F268" s="95" t="s">
        <v>406</v>
      </c>
      <c r="G268" s="101">
        <v>45887</v>
      </c>
      <c r="H268" s="95" t="s">
        <v>41</v>
      </c>
      <c r="I268" s="139"/>
      <c r="J268" s="97"/>
      <c r="K268" s="97"/>
      <c r="L268" s="97">
        <v>51</v>
      </c>
      <c r="M268" s="97">
        <v>90</v>
      </c>
      <c r="N268" s="145">
        <f t="shared" si="12"/>
        <v>141</v>
      </c>
      <c r="O268" s="98"/>
      <c r="P268" s="95" t="s">
        <v>520</v>
      </c>
      <c r="Q268" s="101">
        <v>45888</v>
      </c>
      <c r="R268" s="1"/>
    </row>
    <row r="269" spans="1:18" s="43" customFormat="1" ht="15.75" customHeight="1" x14ac:dyDescent="0.2">
      <c r="A269" s="245" t="s">
        <v>1381</v>
      </c>
      <c r="B269" s="229" t="s">
        <v>1378</v>
      </c>
      <c r="C269" s="95" t="s">
        <v>1382</v>
      </c>
      <c r="D269" s="95" t="s">
        <v>26</v>
      </c>
      <c r="E269" s="95" t="s">
        <v>661</v>
      </c>
      <c r="F269" s="95" t="s">
        <v>406</v>
      </c>
      <c r="G269" s="101">
        <v>45889</v>
      </c>
      <c r="H269" s="95" t="s">
        <v>41</v>
      </c>
      <c r="I269" s="97"/>
      <c r="J269" s="97">
        <v>40</v>
      </c>
      <c r="K269" s="97"/>
      <c r="L269" s="97">
        <v>40</v>
      </c>
      <c r="M269" s="97">
        <v>70</v>
      </c>
      <c r="N269" s="145">
        <v>150</v>
      </c>
      <c r="O269" s="98"/>
      <c r="P269" s="95" t="s">
        <v>425</v>
      </c>
      <c r="Q269" s="101">
        <v>45889</v>
      </c>
      <c r="R269" s="42"/>
    </row>
    <row r="270" spans="1:18" ht="25.5" customHeight="1" x14ac:dyDescent="0.2">
      <c r="A270" s="246" t="s">
        <v>1383</v>
      </c>
      <c r="B270" s="229" t="s">
        <v>1379</v>
      </c>
      <c r="C270" s="95" t="s">
        <v>1386</v>
      </c>
      <c r="D270" s="95" t="s">
        <v>26</v>
      </c>
      <c r="E270" s="95" t="s">
        <v>445</v>
      </c>
      <c r="F270" s="95" t="s">
        <v>406</v>
      </c>
      <c r="G270" s="101">
        <v>45885</v>
      </c>
      <c r="H270" s="95" t="s">
        <v>41</v>
      </c>
      <c r="I270" s="97"/>
      <c r="J270" s="97">
        <v>80</v>
      </c>
      <c r="K270" s="97"/>
      <c r="L270" s="97">
        <v>15</v>
      </c>
      <c r="M270" s="97"/>
      <c r="N270" s="145">
        <f t="shared" ref="N270:N282" si="13">SUM(I270:M270)</f>
        <v>95</v>
      </c>
      <c r="O270" s="98"/>
      <c r="P270" s="95" t="s">
        <v>520</v>
      </c>
      <c r="Q270" s="101">
        <v>45890</v>
      </c>
      <c r="R270" s="1"/>
    </row>
    <row r="271" spans="1:18" s="43" customFormat="1" ht="15.75" customHeight="1" x14ac:dyDescent="0.2">
      <c r="A271" s="245" t="s">
        <v>1032</v>
      </c>
      <c r="B271" s="229" t="s">
        <v>1384</v>
      </c>
      <c r="C271" s="95" t="s">
        <v>1388</v>
      </c>
      <c r="D271" s="95" t="s">
        <v>26</v>
      </c>
      <c r="E271" s="95" t="s">
        <v>661</v>
      </c>
      <c r="F271" s="95" t="s">
        <v>406</v>
      </c>
      <c r="G271" s="101">
        <v>45890</v>
      </c>
      <c r="H271" s="95" t="s">
        <v>41</v>
      </c>
      <c r="I271" s="97"/>
      <c r="J271" s="97">
        <v>40</v>
      </c>
      <c r="K271" s="97"/>
      <c r="L271" s="97">
        <v>40</v>
      </c>
      <c r="M271" s="97">
        <v>70</v>
      </c>
      <c r="N271" s="145">
        <f t="shared" si="13"/>
        <v>150</v>
      </c>
      <c r="O271" s="98"/>
      <c r="P271" s="95" t="s">
        <v>425</v>
      </c>
      <c r="Q271" s="101">
        <v>45890</v>
      </c>
      <c r="R271" s="42"/>
    </row>
    <row r="272" spans="1:18" s="43" customFormat="1" ht="25.5" customHeight="1" x14ac:dyDescent="0.2">
      <c r="A272" s="246" t="s">
        <v>1396</v>
      </c>
      <c r="B272" s="229" t="s">
        <v>1385</v>
      </c>
      <c r="C272" s="99" t="s">
        <v>1397</v>
      </c>
      <c r="D272" s="95" t="s">
        <v>26</v>
      </c>
      <c r="E272" s="95" t="s">
        <v>661</v>
      </c>
      <c r="F272" s="95" t="s">
        <v>406</v>
      </c>
      <c r="G272" s="146" t="s">
        <v>1398</v>
      </c>
      <c r="H272" s="95" t="s">
        <v>41</v>
      </c>
      <c r="I272" s="97"/>
      <c r="J272" s="97"/>
      <c r="K272" s="97">
        <v>600</v>
      </c>
      <c r="L272" s="97"/>
      <c r="M272" s="97"/>
      <c r="N272" s="145">
        <f t="shared" si="13"/>
        <v>600</v>
      </c>
      <c r="O272" s="98"/>
      <c r="P272" s="95" t="s">
        <v>425</v>
      </c>
      <c r="Q272" s="101">
        <v>45890</v>
      </c>
      <c r="R272" s="42"/>
    </row>
    <row r="273" spans="1:18" s="43" customFormat="1" ht="15.75" customHeight="1" x14ac:dyDescent="0.2">
      <c r="A273" s="245" t="s">
        <v>1402</v>
      </c>
      <c r="B273" s="229" t="s">
        <v>1389</v>
      </c>
      <c r="C273" s="95" t="s">
        <v>1403</v>
      </c>
      <c r="D273" s="99" t="s">
        <v>26</v>
      </c>
      <c r="E273" s="95" t="s">
        <v>1404</v>
      </c>
      <c r="F273" s="95" t="s">
        <v>406</v>
      </c>
      <c r="G273" s="101">
        <v>45890</v>
      </c>
      <c r="H273" s="95" t="s">
        <v>41</v>
      </c>
      <c r="I273" s="97"/>
      <c r="J273" s="97"/>
      <c r="K273" s="97">
        <v>30</v>
      </c>
      <c r="L273" s="97">
        <v>30</v>
      </c>
      <c r="M273" s="97"/>
      <c r="N273" s="247">
        <f t="shared" si="13"/>
        <v>60</v>
      </c>
      <c r="O273" s="98"/>
      <c r="P273" s="95" t="s">
        <v>520</v>
      </c>
      <c r="Q273" s="101">
        <v>45890</v>
      </c>
      <c r="R273" s="42"/>
    </row>
    <row r="274" spans="1:18" ht="15.75" customHeight="1" x14ac:dyDescent="0.2">
      <c r="A274" s="245" t="s">
        <v>1399</v>
      </c>
      <c r="B274" s="229" t="s">
        <v>1390</v>
      </c>
      <c r="C274" s="95" t="s">
        <v>1400</v>
      </c>
      <c r="D274" s="95" t="s">
        <v>39</v>
      </c>
      <c r="E274" s="95" t="s">
        <v>436</v>
      </c>
      <c r="F274" s="95" t="s">
        <v>406</v>
      </c>
      <c r="G274" s="101">
        <v>45889</v>
      </c>
      <c r="H274" s="95" t="s">
        <v>41</v>
      </c>
      <c r="I274" s="97"/>
      <c r="J274" s="97"/>
      <c r="K274" s="97"/>
      <c r="L274" s="97">
        <v>13</v>
      </c>
      <c r="M274" s="97"/>
      <c r="N274" s="145">
        <f t="shared" si="13"/>
        <v>13</v>
      </c>
      <c r="O274" s="98"/>
      <c r="P274" s="95" t="s">
        <v>489</v>
      </c>
      <c r="Q274" s="101">
        <v>45890</v>
      </c>
      <c r="R274" s="1"/>
    </row>
    <row r="275" spans="1:18" ht="15.75" customHeight="1" x14ac:dyDescent="0.2">
      <c r="A275" s="245" t="s">
        <v>1124</v>
      </c>
      <c r="B275" s="229" t="s">
        <v>1391</v>
      </c>
      <c r="C275" s="95" t="s">
        <v>1401</v>
      </c>
      <c r="D275" s="95" t="s">
        <v>26</v>
      </c>
      <c r="E275" s="95" t="s">
        <v>1077</v>
      </c>
      <c r="F275" s="95" t="s">
        <v>406</v>
      </c>
      <c r="G275" s="101">
        <v>45888</v>
      </c>
      <c r="H275" s="95" t="s">
        <v>41</v>
      </c>
      <c r="I275" s="97"/>
      <c r="J275" s="97">
        <v>85</v>
      </c>
      <c r="K275" s="97"/>
      <c r="L275" s="97"/>
      <c r="M275" s="97"/>
      <c r="N275" s="145">
        <f t="shared" si="13"/>
        <v>85</v>
      </c>
      <c r="O275" s="98"/>
      <c r="P275" s="95" t="s">
        <v>489</v>
      </c>
      <c r="Q275" s="101">
        <v>45890</v>
      </c>
      <c r="R275" s="1"/>
    </row>
    <row r="276" spans="1:18" ht="15.75" customHeight="1" x14ac:dyDescent="0.2">
      <c r="A276" s="245" t="s">
        <v>1296</v>
      </c>
      <c r="B276" s="229" t="s">
        <v>1392</v>
      </c>
      <c r="C276" s="95" t="s">
        <v>1405</v>
      </c>
      <c r="D276" s="95" t="s">
        <v>26</v>
      </c>
      <c r="E276" s="95" t="s">
        <v>436</v>
      </c>
      <c r="F276" s="95" t="s">
        <v>406</v>
      </c>
      <c r="G276" s="101">
        <v>45889</v>
      </c>
      <c r="H276" s="95" t="s">
        <v>41</v>
      </c>
      <c r="I276" s="97"/>
      <c r="J276" s="97"/>
      <c r="K276" s="97"/>
      <c r="L276" s="97">
        <v>15</v>
      </c>
      <c r="M276" s="97">
        <v>27</v>
      </c>
      <c r="N276" s="145">
        <f t="shared" si="13"/>
        <v>42</v>
      </c>
      <c r="O276" s="98"/>
      <c r="P276" s="95" t="s">
        <v>1190</v>
      </c>
      <c r="Q276" s="101">
        <v>45890</v>
      </c>
      <c r="R276" s="1"/>
    </row>
    <row r="277" spans="1:18" s="43" customFormat="1" ht="15.75" customHeight="1" x14ac:dyDescent="0.2">
      <c r="A277" s="245" t="s">
        <v>737</v>
      </c>
      <c r="B277" s="229" t="s">
        <v>1393</v>
      </c>
      <c r="C277" s="95" t="s">
        <v>1406</v>
      </c>
      <c r="D277" s="95" t="s">
        <v>26</v>
      </c>
      <c r="E277" s="95" t="s">
        <v>661</v>
      </c>
      <c r="F277" s="95" t="s">
        <v>406</v>
      </c>
      <c r="G277" s="101">
        <v>45890</v>
      </c>
      <c r="H277" s="95" t="s">
        <v>41</v>
      </c>
      <c r="I277" s="97">
        <v>190</v>
      </c>
      <c r="J277" s="97">
        <v>30</v>
      </c>
      <c r="K277" s="97"/>
      <c r="L277" s="97"/>
      <c r="M277" s="97"/>
      <c r="N277" s="145">
        <f t="shared" si="13"/>
        <v>220</v>
      </c>
      <c r="O277" s="98"/>
      <c r="P277" s="95" t="s">
        <v>425</v>
      </c>
      <c r="Q277" s="101">
        <v>45894</v>
      </c>
      <c r="R277" s="42"/>
    </row>
    <row r="278" spans="1:18" ht="15.75" customHeight="1" x14ac:dyDescent="0.2">
      <c r="A278" s="245" t="s">
        <v>737</v>
      </c>
      <c r="B278" s="229" t="s">
        <v>1394</v>
      </c>
      <c r="C278" s="95" t="s">
        <v>1407</v>
      </c>
      <c r="D278" s="95" t="s">
        <v>26</v>
      </c>
      <c r="E278" s="95" t="s">
        <v>661</v>
      </c>
      <c r="F278" s="95" t="s">
        <v>406</v>
      </c>
      <c r="G278" s="101">
        <v>45890</v>
      </c>
      <c r="H278" s="95" t="s">
        <v>41</v>
      </c>
      <c r="I278" s="97">
        <v>180</v>
      </c>
      <c r="J278" s="97"/>
      <c r="K278" s="97"/>
      <c r="L278" s="97"/>
      <c r="M278" s="97"/>
      <c r="N278" s="145">
        <f t="shared" si="13"/>
        <v>180</v>
      </c>
      <c r="O278" s="98"/>
      <c r="P278" s="95" t="s">
        <v>520</v>
      </c>
      <c r="Q278" s="101">
        <v>45894</v>
      </c>
      <c r="R278" s="1"/>
    </row>
    <row r="279" spans="1:18" ht="15.75" customHeight="1" x14ac:dyDescent="0.2">
      <c r="A279" s="245" t="s">
        <v>1408</v>
      </c>
      <c r="B279" s="229" t="s">
        <v>1395</v>
      </c>
      <c r="C279" s="95" t="s">
        <v>1409</v>
      </c>
      <c r="D279" s="95" t="s">
        <v>33</v>
      </c>
      <c r="E279" s="95" t="s">
        <v>436</v>
      </c>
      <c r="F279" s="95" t="s">
        <v>406</v>
      </c>
      <c r="G279" s="101">
        <v>45889</v>
      </c>
      <c r="H279" s="95" t="s">
        <v>41</v>
      </c>
      <c r="I279" s="97"/>
      <c r="J279" s="97">
        <v>72.5</v>
      </c>
      <c r="K279" s="97"/>
      <c r="L279" s="97">
        <v>25</v>
      </c>
      <c r="M279" s="97"/>
      <c r="N279" s="145">
        <f t="shared" si="13"/>
        <v>97.5</v>
      </c>
      <c r="O279" s="98"/>
      <c r="P279" s="95" t="s">
        <v>520</v>
      </c>
      <c r="Q279" s="101">
        <v>45894</v>
      </c>
      <c r="R279" s="1"/>
    </row>
    <row r="280" spans="1:18" ht="15.75" customHeight="1" x14ac:dyDescent="0.2">
      <c r="A280" s="245" t="s">
        <v>1410</v>
      </c>
      <c r="B280" s="229" t="s">
        <v>1411</v>
      </c>
      <c r="C280" s="95" t="s">
        <v>1415</v>
      </c>
      <c r="D280" s="95" t="s">
        <v>33</v>
      </c>
      <c r="E280" s="95" t="s">
        <v>436</v>
      </c>
      <c r="F280" s="95" t="s">
        <v>406</v>
      </c>
      <c r="G280" s="101">
        <v>45890</v>
      </c>
      <c r="H280" s="95" t="s">
        <v>41</v>
      </c>
      <c r="I280" s="97"/>
      <c r="J280" s="97">
        <v>24.5</v>
      </c>
      <c r="K280" s="97"/>
      <c r="L280" s="97">
        <v>45</v>
      </c>
      <c r="M280" s="97"/>
      <c r="N280" s="145">
        <f t="shared" si="13"/>
        <v>69.5</v>
      </c>
      <c r="O280" s="98"/>
      <c r="P280" s="95" t="s">
        <v>1190</v>
      </c>
      <c r="Q280" s="101">
        <v>45894</v>
      </c>
      <c r="R280" s="1"/>
    </row>
    <row r="281" spans="1:18" s="43" customFormat="1" ht="15.75" customHeight="1" x14ac:dyDescent="0.2">
      <c r="A281" s="245" t="s">
        <v>1412</v>
      </c>
      <c r="B281" s="229" t="s">
        <v>1413</v>
      </c>
      <c r="C281" s="95" t="s">
        <v>1414</v>
      </c>
      <c r="D281" s="95" t="s">
        <v>26</v>
      </c>
      <c r="E281" s="95" t="s">
        <v>1084</v>
      </c>
      <c r="F281" s="95" t="s">
        <v>406</v>
      </c>
      <c r="G281" s="101">
        <v>45889</v>
      </c>
      <c r="H281" s="95" t="s">
        <v>41</v>
      </c>
      <c r="I281" s="97"/>
      <c r="J281" s="97">
        <v>71</v>
      </c>
      <c r="K281" s="97"/>
      <c r="L281" s="97">
        <v>23</v>
      </c>
      <c r="M281" s="97">
        <v>60</v>
      </c>
      <c r="N281" s="145">
        <f t="shared" si="13"/>
        <v>154</v>
      </c>
      <c r="O281" s="98"/>
      <c r="P281" s="95" t="s">
        <v>429</v>
      </c>
      <c r="Q281" s="101">
        <v>45896</v>
      </c>
      <c r="R281" s="42"/>
    </row>
    <row r="282" spans="1:18" s="43" customFormat="1" ht="15.75" customHeight="1" x14ac:dyDescent="0.2">
      <c r="A282" s="245" t="s">
        <v>1418</v>
      </c>
      <c r="B282" s="229" t="s">
        <v>1416</v>
      </c>
      <c r="C282" s="95" t="s">
        <v>1417</v>
      </c>
      <c r="D282" s="95" t="s">
        <v>33</v>
      </c>
      <c r="E282" s="95" t="s">
        <v>436</v>
      </c>
      <c r="F282" s="95" t="s">
        <v>406</v>
      </c>
      <c r="G282" s="101">
        <v>45892</v>
      </c>
      <c r="H282" s="95" t="s">
        <v>41</v>
      </c>
      <c r="I282" s="97"/>
      <c r="J282" s="97">
        <v>10</v>
      </c>
      <c r="K282" s="97"/>
      <c r="L282" s="97">
        <v>15</v>
      </c>
      <c r="M282" s="97"/>
      <c r="N282" s="145">
        <f t="shared" si="13"/>
        <v>25</v>
      </c>
      <c r="O282" s="98"/>
      <c r="P282" s="95" t="s">
        <v>520</v>
      </c>
      <c r="Q282" s="101">
        <v>45896</v>
      </c>
      <c r="R282" s="42"/>
    </row>
    <row r="283" spans="1:18" s="43" customFormat="1" ht="15.75" customHeight="1" x14ac:dyDescent="0.2">
      <c r="A283" s="245" t="s">
        <v>1422</v>
      </c>
      <c r="B283" s="229" t="s">
        <v>1419</v>
      </c>
      <c r="C283" s="95" t="s">
        <v>1423</v>
      </c>
      <c r="D283" s="95" t="s">
        <v>26</v>
      </c>
      <c r="E283" s="95" t="s">
        <v>445</v>
      </c>
      <c r="F283" s="95" t="s">
        <v>406</v>
      </c>
      <c r="G283" s="101">
        <v>45896</v>
      </c>
      <c r="H283" s="95" t="s">
        <v>41</v>
      </c>
      <c r="I283" s="97">
        <v>150</v>
      </c>
      <c r="J283" s="97"/>
      <c r="K283" s="97">
        <v>50</v>
      </c>
      <c r="L283" s="97"/>
      <c r="M283" s="97"/>
      <c r="N283" s="145">
        <f t="shared" ref="N283:N302" si="14">SUM(H283:M283)</f>
        <v>200</v>
      </c>
      <c r="O283" s="98"/>
      <c r="P283" s="95" t="s">
        <v>520</v>
      </c>
      <c r="Q283" s="101">
        <v>45896</v>
      </c>
      <c r="R283" s="42"/>
    </row>
    <row r="284" spans="1:18" s="43" customFormat="1" ht="15.75" customHeight="1" x14ac:dyDescent="0.2">
      <c r="A284" s="245" t="s">
        <v>1424</v>
      </c>
      <c r="B284" s="229" t="s">
        <v>1420</v>
      </c>
      <c r="C284" s="95" t="s">
        <v>1425</v>
      </c>
      <c r="D284" s="95" t="s">
        <v>26</v>
      </c>
      <c r="E284" s="95" t="s">
        <v>661</v>
      </c>
      <c r="F284" s="95" t="s">
        <v>406</v>
      </c>
      <c r="G284" s="101">
        <v>45897</v>
      </c>
      <c r="H284" s="95" t="s">
        <v>41</v>
      </c>
      <c r="I284" s="97">
        <v>180</v>
      </c>
      <c r="J284" s="97"/>
      <c r="K284" s="97"/>
      <c r="L284" s="97"/>
      <c r="M284" s="97"/>
      <c r="N284" s="145">
        <f t="shared" si="14"/>
        <v>180</v>
      </c>
      <c r="O284" s="98"/>
      <c r="P284" s="95" t="s">
        <v>520</v>
      </c>
      <c r="Q284" s="101">
        <v>45896</v>
      </c>
      <c r="R284" s="42"/>
    </row>
    <row r="285" spans="1:18" s="43" customFormat="1" ht="15.75" customHeight="1" x14ac:dyDescent="0.2">
      <c r="A285" s="245" t="s">
        <v>1436</v>
      </c>
      <c r="B285" s="229" t="s">
        <v>1426</v>
      </c>
      <c r="C285" s="95" t="s">
        <v>1432</v>
      </c>
      <c r="D285" s="95" t="s">
        <v>33</v>
      </c>
      <c r="E285" s="95" t="s">
        <v>436</v>
      </c>
      <c r="F285" s="95" t="s">
        <v>406</v>
      </c>
      <c r="G285" s="101">
        <v>45896</v>
      </c>
      <c r="H285" s="95" t="s">
        <v>41</v>
      </c>
      <c r="I285" s="97"/>
      <c r="J285" s="97">
        <v>20</v>
      </c>
      <c r="K285" s="97"/>
      <c r="L285" s="97">
        <v>12</v>
      </c>
      <c r="M285" s="97"/>
      <c r="N285" s="145">
        <f t="shared" si="14"/>
        <v>32</v>
      </c>
      <c r="O285" s="98"/>
      <c r="P285" s="95" t="s">
        <v>1190</v>
      </c>
      <c r="Q285" s="101">
        <v>45897</v>
      </c>
      <c r="R285" s="42"/>
    </row>
    <row r="286" spans="1:18" s="43" customFormat="1" ht="15.75" customHeight="1" x14ac:dyDescent="0.2">
      <c r="A286" s="245" t="s">
        <v>1437</v>
      </c>
      <c r="B286" s="229" t="s">
        <v>1427</v>
      </c>
      <c r="C286" s="95" t="s">
        <v>1435</v>
      </c>
      <c r="D286" s="95" t="s">
        <v>39</v>
      </c>
      <c r="E286" s="95" t="s">
        <v>436</v>
      </c>
      <c r="F286" s="95" t="s">
        <v>406</v>
      </c>
      <c r="G286" s="101">
        <v>45896</v>
      </c>
      <c r="H286" s="95" t="s">
        <v>41</v>
      </c>
      <c r="I286" s="97"/>
      <c r="J286" s="97"/>
      <c r="K286" s="97"/>
      <c r="L286" s="97">
        <v>15</v>
      </c>
      <c r="M286" s="97"/>
      <c r="N286" s="145">
        <f t="shared" si="14"/>
        <v>15</v>
      </c>
      <c r="O286" s="98"/>
      <c r="P286" s="95" t="s">
        <v>1190</v>
      </c>
      <c r="Q286" s="101">
        <v>45897</v>
      </c>
      <c r="R286" s="42"/>
    </row>
    <row r="287" spans="1:18" s="43" customFormat="1" ht="15.75" customHeight="1" x14ac:dyDescent="0.2">
      <c r="A287" s="245" t="s">
        <v>1434</v>
      </c>
      <c r="B287" s="229" t="s">
        <v>1428</v>
      </c>
      <c r="C287" s="95" t="s">
        <v>1433</v>
      </c>
      <c r="D287" s="95" t="s">
        <v>26</v>
      </c>
      <c r="E287" s="95" t="s">
        <v>449</v>
      </c>
      <c r="F287" s="95" t="s">
        <v>1438</v>
      </c>
      <c r="G287" s="101">
        <v>45891</v>
      </c>
      <c r="H287" s="95" t="s">
        <v>41</v>
      </c>
      <c r="I287" s="97"/>
      <c r="J287" s="97">
        <v>60</v>
      </c>
      <c r="K287" s="97"/>
      <c r="L287" s="97"/>
      <c r="M287" s="97"/>
      <c r="N287" s="145">
        <f t="shared" si="14"/>
        <v>60</v>
      </c>
      <c r="O287" s="98"/>
      <c r="P287" s="95" t="s">
        <v>1190</v>
      </c>
      <c r="Q287" s="101">
        <v>45897</v>
      </c>
      <c r="R287" s="42"/>
    </row>
    <row r="288" spans="1:18" s="43" customFormat="1" ht="15.75" customHeight="1" x14ac:dyDescent="0.2">
      <c r="A288" s="245" t="s">
        <v>1216</v>
      </c>
      <c r="B288" s="229" t="s">
        <v>1429</v>
      </c>
      <c r="C288" s="95" t="s">
        <v>1439</v>
      </c>
      <c r="D288" s="95" t="s">
        <v>383</v>
      </c>
      <c r="E288" s="95" t="s">
        <v>710</v>
      </c>
      <c r="F288" s="95" t="s">
        <v>406</v>
      </c>
      <c r="G288" s="101">
        <v>45892</v>
      </c>
      <c r="H288" s="95" t="s">
        <v>41</v>
      </c>
      <c r="I288" s="97"/>
      <c r="J288" s="97">
        <v>18</v>
      </c>
      <c r="K288" s="97"/>
      <c r="L288" s="97">
        <v>20</v>
      </c>
      <c r="M288" s="97"/>
      <c r="N288" s="145">
        <f t="shared" si="14"/>
        <v>38</v>
      </c>
      <c r="O288" s="98"/>
      <c r="P288" s="95" t="s">
        <v>1190</v>
      </c>
      <c r="Q288" s="101">
        <v>45897</v>
      </c>
      <c r="R288" s="42"/>
    </row>
    <row r="289" spans="1:18" s="43" customFormat="1" ht="15.75" customHeight="1" x14ac:dyDescent="0.2">
      <c r="A289" s="245" t="s">
        <v>1437</v>
      </c>
      <c r="B289" s="229" t="s">
        <v>1430</v>
      </c>
      <c r="C289" s="95" t="s">
        <v>1435</v>
      </c>
      <c r="D289" s="95" t="s">
        <v>39</v>
      </c>
      <c r="E289" s="95" t="s">
        <v>436</v>
      </c>
      <c r="F289" s="95" t="s">
        <v>406</v>
      </c>
      <c r="G289" s="101">
        <v>45896</v>
      </c>
      <c r="H289" s="95" t="s">
        <v>41</v>
      </c>
      <c r="I289" s="97"/>
      <c r="J289" s="97">
        <v>15</v>
      </c>
      <c r="K289" s="97"/>
      <c r="L289" s="97">
        <v>15</v>
      </c>
      <c r="M289" s="97"/>
      <c r="N289" s="145">
        <f t="shared" si="14"/>
        <v>30</v>
      </c>
      <c r="O289" s="98"/>
      <c r="P289" s="95" t="s">
        <v>425</v>
      </c>
      <c r="Q289" s="101">
        <v>45897</v>
      </c>
      <c r="R289" s="42"/>
    </row>
    <row r="290" spans="1:18" s="43" customFormat="1" ht="29.25" customHeight="1" x14ac:dyDescent="0.2">
      <c r="A290" s="245" t="s">
        <v>1402</v>
      </c>
      <c r="B290" s="229" t="s">
        <v>1431</v>
      </c>
      <c r="C290" s="99" t="s">
        <v>1444</v>
      </c>
      <c r="D290" s="95" t="s">
        <v>33</v>
      </c>
      <c r="E290" s="95" t="s">
        <v>1404</v>
      </c>
      <c r="F290" s="95" t="s">
        <v>1438</v>
      </c>
      <c r="G290" s="101">
        <v>45890</v>
      </c>
      <c r="H290" s="95" t="s">
        <v>41</v>
      </c>
      <c r="I290" s="97"/>
      <c r="J290" s="97">
        <v>11</v>
      </c>
      <c r="K290" s="97">
        <v>18</v>
      </c>
      <c r="L290" s="97"/>
      <c r="M290" s="97"/>
      <c r="N290" s="145">
        <f t="shared" si="14"/>
        <v>29</v>
      </c>
      <c r="O290" s="98"/>
      <c r="P290" s="95" t="s">
        <v>425</v>
      </c>
      <c r="Q290" s="101">
        <v>45897</v>
      </c>
      <c r="R290" s="42"/>
    </row>
    <row r="291" spans="1:18" s="43" customFormat="1" ht="15.75" customHeight="1" x14ac:dyDescent="0.2">
      <c r="A291" s="245" t="s">
        <v>1440</v>
      </c>
      <c r="B291" s="229" t="s">
        <v>1443</v>
      </c>
      <c r="C291" s="95" t="s">
        <v>1441</v>
      </c>
      <c r="D291" s="95" t="s">
        <v>26</v>
      </c>
      <c r="E291" s="95" t="s">
        <v>1442</v>
      </c>
      <c r="F291" s="95" t="s">
        <v>406</v>
      </c>
      <c r="G291" s="101">
        <v>45897</v>
      </c>
      <c r="H291" s="95" t="s">
        <v>41</v>
      </c>
      <c r="I291" s="97"/>
      <c r="J291" s="97"/>
      <c r="K291" s="97"/>
      <c r="L291" s="97">
        <v>50</v>
      </c>
      <c r="M291" s="97"/>
      <c r="N291" s="145">
        <f t="shared" si="14"/>
        <v>50</v>
      </c>
      <c r="O291" s="98"/>
      <c r="P291" s="95" t="s">
        <v>948</v>
      </c>
      <c r="Q291" s="101">
        <v>45897</v>
      </c>
      <c r="R291" s="42"/>
    </row>
    <row r="292" spans="1:18" s="43" customFormat="1" ht="15.75" customHeight="1" x14ac:dyDescent="0.2">
      <c r="A292" s="245" t="s">
        <v>1445</v>
      </c>
      <c r="B292" s="229" t="s">
        <v>1446</v>
      </c>
      <c r="C292" s="95" t="s">
        <v>1447</v>
      </c>
      <c r="D292" s="95" t="s">
        <v>26</v>
      </c>
      <c r="E292" s="95" t="s">
        <v>625</v>
      </c>
      <c r="F292" s="95" t="s">
        <v>406</v>
      </c>
      <c r="G292" s="101">
        <v>45898</v>
      </c>
      <c r="H292" s="95" t="s">
        <v>41</v>
      </c>
      <c r="I292" s="97"/>
      <c r="J292" s="97">
        <v>70</v>
      </c>
      <c r="K292" s="97"/>
      <c r="L292" s="97"/>
      <c r="M292" s="97"/>
      <c r="N292" s="145">
        <f t="shared" si="14"/>
        <v>70</v>
      </c>
      <c r="O292" s="98"/>
      <c r="P292" s="95" t="s">
        <v>429</v>
      </c>
      <c r="Q292" s="101">
        <v>45904</v>
      </c>
      <c r="R292" s="42"/>
    </row>
    <row r="293" spans="1:18" s="43" customFormat="1" ht="15.75" customHeight="1" x14ac:dyDescent="0.2">
      <c r="A293" s="245" t="s">
        <v>1451</v>
      </c>
      <c r="B293" s="229" t="s">
        <v>1448</v>
      </c>
      <c r="C293" s="95" t="s">
        <v>1449</v>
      </c>
      <c r="D293" s="95" t="s">
        <v>26</v>
      </c>
      <c r="E293" s="95" t="s">
        <v>661</v>
      </c>
      <c r="F293" s="95" t="s">
        <v>406</v>
      </c>
      <c r="G293" s="101">
        <v>45904</v>
      </c>
      <c r="H293" s="95" t="s">
        <v>1450</v>
      </c>
      <c r="I293" s="97">
        <v>80</v>
      </c>
      <c r="J293" s="97"/>
      <c r="K293" s="97"/>
      <c r="L293" s="97"/>
      <c r="M293" s="97"/>
      <c r="N293" s="145">
        <f t="shared" si="14"/>
        <v>80</v>
      </c>
      <c r="O293" s="98"/>
      <c r="P293" s="95" t="s">
        <v>520</v>
      </c>
      <c r="Q293" s="101">
        <v>45904</v>
      </c>
      <c r="R293" s="42"/>
    </row>
    <row r="294" spans="1:18" s="43" customFormat="1" ht="15.75" customHeight="1" x14ac:dyDescent="0.2">
      <c r="A294" s="245" t="s">
        <v>1454</v>
      </c>
      <c r="B294" s="229" t="s">
        <v>1452</v>
      </c>
      <c r="C294" s="95" t="s">
        <v>1455</v>
      </c>
      <c r="D294" s="95" t="s">
        <v>26</v>
      </c>
      <c r="E294" s="95" t="s">
        <v>1453</v>
      </c>
      <c r="F294" s="95" t="s">
        <v>406</v>
      </c>
      <c r="G294" s="101">
        <v>45898</v>
      </c>
      <c r="H294" s="95" t="s">
        <v>1450</v>
      </c>
      <c r="I294" s="97"/>
      <c r="J294" s="97">
        <v>45</v>
      </c>
      <c r="K294" s="97"/>
      <c r="L294" s="97"/>
      <c r="M294" s="97"/>
      <c r="N294" s="145">
        <f t="shared" si="14"/>
        <v>45</v>
      </c>
      <c r="O294" s="98"/>
      <c r="P294" s="95" t="s">
        <v>1190</v>
      </c>
      <c r="Q294" s="101">
        <v>45904</v>
      </c>
      <c r="R294" s="42"/>
    </row>
    <row r="295" spans="1:18" s="43" customFormat="1" ht="25.5" customHeight="1" x14ac:dyDescent="0.2">
      <c r="A295" s="246" t="s">
        <v>1383</v>
      </c>
      <c r="B295" s="229" t="s">
        <v>1457</v>
      </c>
      <c r="C295" s="95" t="s">
        <v>1386</v>
      </c>
      <c r="D295" s="95" t="s">
        <v>26</v>
      </c>
      <c r="E295" s="95" t="s">
        <v>445</v>
      </c>
      <c r="F295" s="95" t="s">
        <v>406</v>
      </c>
      <c r="G295" s="101">
        <v>45905</v>
      </c>
      <c r="H295" s="95" t="s">
        <v>1450</v>
      </c>
      <c r="I295" s="97"/>
      <c r="J295" s="97">
        <v>20</v>
      </c>
      <c r="K295" s="97">
        <v>40</v>
      </c>
      <c r="L295" s="97">
        <v>40</v>
      </c>
      <c r="M295" s="97">
        <v>100</v>
      </c>
      <c r="N295" s="145">
        <f t="shared" si="14"/>
        <v>200</v>
      </c>
      <c r="O295" s="98"/>
      <c r="P295" s="95" t="s">
        <v>520</v>
      </c>
      <c r="Q295" s="101">
        <v>45910</v>
      </c>
      <c r="R295" s="42"/>
    </row>
    <row r="296" spans="1:18" s="43" customFormat="1" ht="15.75" customHeight="1" x14ac:dyDescent="0.2">
      <c r="A296" s="245" t="s">
        <v>1458</v>
      </c>
      <c r="B296" s="229" t="s">
        <v>1459</v>
      </c>
      <c r="C296" s="95" t="s">
        <v>1460</v>
      </c>
      <c r="D296" s="95" t="s">
        <v>26</v>
      </c>
      <c r="E296" s="95" t="s">
        <v>661</v>
      </c>
      <c r="F296" s="95" t="s">
        <v>406</v>
      </c>
      <c r="G296" s="101">
        <v>45910</v>
      </c>
      <c r="H296" s="95" t="s">
        <v>1450</v>
      </c>
      <c r="I296" s="97">
        <v>90</v>
      </c>
      <c r="J296" s="97"/>
      <c r="K296" s="97"/>
      <c r="L296" s="97"/>
      <c r="M296" s="97"/>
      <c r="N296" s="145">
        <f t="shared" si="14"/>
        <v>90</v>
      </c>
      <c r="O296" s="98"/>
      <c r="P296" s="95" t="s">
        <v>520</v>
      </c>
      <c r="Q296" s="101">
        <v>45911</v>
      </c>
      <c r="R296" s="42"/>
    </row>
    <row r="297" spans="1:18" s="43" customFormat="1" ht="15.75" customHeight="1" x14ac:dyDescent="0.2">
      <c r="A297" s="245" t="s">
        <v>1296</v>
      </c>
      <c r="B297" s="229" t="s">
        <v>1461</v>
      </c>
      <c r="C297" s="95" t="s">
        <v>1462</v>
      </c>
      <c r="D297" s="95" t="s">
        <v>26</v>
      </c>
      <c r="E297" s="95" t="s">
        <v>436</v>
      </c>
      <c r="F297" s="95" t="s">
        <v>406</v>
      </c>
      <c r="G297" s="101">
        <v>45909</v>
      </c>
      <c r="H297" s="95" t="s">
        <v>1450</v>
      </c>
      <c r="I297" s="97"/>
      <c r="J297" s="97">
        <v>28</v>
      </c>
      <c r="K297" s="97"/>
      <c r="L297" s="97">
        <v>30</v>
      </c>
      <c r="M297" s="97"/>
      <c r="N297" s="145">
        <f t="shared" si="14"/>
        <v>58</v>
      </c>
      <c r="O297" s="98"/>
      <c r="P297" s="95" t="s">
        <v>425</v>
      </c>
      <c r="Q297" s="101">
        <v>45912</v>
      </c>
      <c r="R297" s="42"/>
    </row>
    <row r="298" spans="1:18" s="43" customFormat="1" ht="27" customHeight="1" x14ac:dyDescent="0.2">
      <c r="A298" s="245" t="s">
        <v>1467</v>
      </c>
      <c r="B298" s="229" t="s">
        <v>1466</v>
      </c>
      <c r="C298" s="95" t="s">
        <v>1465</v>
      </c>
      <c r="D298" s="95" t="s">
        <v>26</v>
      </c>
      <c r="E298" s="99" t="s">
        <v>1464</v>
      </c>
      <c r="F298" s="95" t="s">
        <v>461</v>
      </c>
      <c r="G298" s="146" t="s">
        <v>1463</v>
      </c>
      <c r="H298" s="95" t="s">
        <v>1450</v>
      </c>
      <c r="I298" s="97">
        <v>350</v>
      </c>
      <c r="J298" s="97">
        <v>235</v>
      </c>
      <c r="K298" s="97">
        <v>40</v>
      </c>
      <c r="L298" s="97">
        <v>320</v>
      </c>
      <c r="M298" s="97">
        <v>455</v>
      </c>
      <c r="N298" s="145">
        <f t="shared" si="14"/>
        <v>1400</v>
      </c>
      <c r="O298" s="98"/>
      <c r="P298" s="95" t="s">
        <v>417</v>
      </c>
      <c r="Q298" s="101">
        <v>45915</v>
      </c>
      <c r="R298" s="248">
        <v>45912</v>
      </c>
    </row>
    <row r="299" spans="1:18" s="43" customFormat="1" ht="15.75" customHeight="1" x14ac:dyDescent="0.2">
      <c r="A299" s="245" t="s">
        <v>1468</v>
      </c>
      <c r="B299" s="229" t="s">
        <v>1469</v>
      </c>
      <c r="C299" s="95" t="s">
        <v>1470</v>
      </c>
      <c r="D299" s="95" t="s">
        <v>26</v>
      </c>
      <c r="E299" s="99" t="s">
        <v>1079</v>
      </c>
      <c r="F299" s="95" t="s">
        <v>1438</v>
      </c>
      <c r="G299" s="101">
        <v>45911</v>
      </c>
      <c r="H299" s="95" t="s">
        <v>1450</v>
      </c>
      <c r="I299" s="97"/>
      <c r="J299" s="97">
        <v>76.5</v>
      </c>
      <c r="K299" s="97"/>
      <c r="L299" s="97"/>
      <c r="M299" s="97"/>
      <c r="N299" s="145">
        <f t="shared" si="14"/>
        <v>76.5</v>
      </c>
      <c r="O299" s="98"/>
      <c r="P299" s="95" t="s">
        <v>1190</v>
      </c>
      <c r="Q299" s="101">
        <v>45915</v>
      </c>
      <c r="R299" s="248">
        <v>45913</v>
      </c>
    </row>
    <row r="300" spans="1:18" s="43" customFormat="1" ht="15.75" customHeight="1" x14ac:dyDescent="0.2">
      <c r="A300" s="245" t="s">
        <v>418</v>
      </c>
      <c r="B300" s="229" t="s">
        <v>1471</v>
      </c>
      <c r="C300" s="95" t="s">
        <v>1475</v>
      </c>
      <c r="D300" s="95" t="s">
        <v>26</v>
      </c>
      <c r="E300" s="95" t="s">
        <v>449</v>
      </c>
      <c r="F300" s="95" t="s">
        <v>406</v>
      </c>
      <c r="G300" s="101">
        <v>45913</v>
      </c>
      <c r="H300" s="95" t="s">
        <v>1450</v>
      </c>
      <c r="I300" s="97"/>
      <c r="J300" s="97">
        <v>138</v>
      </c>
      <c r="K300" s="97"/>
      <c r="L300" s="97"/>
      <c r="M300" s="97">
        <v>70</v>
      </c>
      <c r="N300" s="145">
        <f t="shared" si="14"/>
        <v>208</v>
      </c>
      <c r="O300" s="98"/>
      <c r="P300" s="95" t="s">
        <v>466</v>
      </c>
      <c r="Q300" s="101">
        <v>45916</v>
      </c>
      <c r="R300" s="248">
        <v>45914</v>
      </c>
    </row>
    <row r="301" spans="1:18" s="43" customFormat="1" ht="15.75" customHeight="1" x14ac:dyDescent="0.2">
      <c r="A301" s="245" t="s">
        <v>1476</v>
      </c>
      <c r="B301" s="229" t="s">
        <v>1473</v>
      </c>
      <c r="C301" s="95" t="s">
        <v>1472</v>
      </c>
      <c r="D301" s="95" t="s">
        <v>26</v>
      </c>
      <c r="E301" s="95" t="s">
        <v>1474</v>
      </c>
      <c r="F301" s="95" t="s">
        <v>406</v>
      </c>
      <c r="G301" s="101">
        <v>45911</v>
      </c>
      <c r="H301" s="95" t="s">
        <v>1450</v>
      </c>
      <c r="I301" s="97"/>
      <c r="J301" s="97">
        <v>44</v>
      </c>
      <c r="K301" s="97"/>
      <c r="L301" s="97"/>
      <c r="M301" s="97"/>
      <c r="N301" s="145">
        <f t="shared" si="14"/>
        <v>44</v>
      </c>
      <c r="O301" s="98"/>
      <c r="P301" s="95" t="s">
        <v>489</v>
      </c>
      <c r="Q301" s="101">
        <v>45916</v>
      </c>
      <c r="R301" s="248">
        <v>45915</v>
      </c>
    </row>
    <row r="302" spans="1:18" s="43" customFormat="1" ht="15.75" customHeight="1" x14ac:dyDescent="0.2">
      <c r="A302" s="245" t="s">
        <v>1480</v>
      </c>
      <c r="B302" s="229" t="s">
        <v>1478</v>
      </c>
      <c r="C302" s="95" t="s">
        <v>1479</v>
      </c>
      <c r="D302" s="95" t="s">
        <v>26</v>
      </c>
      <c r="E302" s="95" t="s">
        <v>449</v>
      </c>
      <c r="F302" s="95" t="s">
        <v>406</v>
      </c>
      <c r="G302" s="101">
        <v>45917</v>
      </c>
      <c r="H302" s="95" t="s">
        <v>1450</v>
      </c>
      <c r="I302" s="97">
        <v>150</v>
      </c>
      <c r="J302" s="97"/>
      <c r="K302" s="97"/>
      <c r="L302" s="97"/>
      <c r="M302" s="97"/>
      <c r="N302" s="145">
        <f t="shared" si="14"/>
        <v>150</v>
      </c>
      <c r="O302" s="98"/>
      <c r="P302" s="95" t="s">
        <v>520</v>
      </c>
      <c r="Q302" s="101">
        <v>45918</v>
      </c>
      <c r="R302" s="248">
        <v>45916</v>
      </c>
    </row>
    <row r="303" spans="1:18" s="43" customFormat="1" ht="15.75" customHeight="1" x14ac:dyDescent="0.2">
      <c r="A303" s="245" t="s">
        <v>1402</v>
      </c>
      <c r="B303" s="229" t="s">
        <v>1481</v>
      </c>
      <c r="C303" s="95" t="s">
        <v>1482</v>
      </c>
      <c r="D303" s="95" t="s">
        <v>33</v>
      </c>
      <c r="E303" s="95" t="s">
        <v>1404</v>
      </c>
      <c r="F303" s="95" t="s">
        <v>406</v>
      </c>
      <c r="G303" s="101">
        <v>45924</v>
      </c>
      <c r="H303" s="95" t="s">
        <v>1450</v>
      </c>
      <c r="I303" s="97">
        <v>200</v>
      </c>
      <c r="J303" s="97">
        <v>50</v>
      </c>
      <c r="K303" s="97"/>
      <c r="L303" s="97">
        <v>50</v>
      </c>
      <c r="M303" s="97"/>
      <c r="N303" s="145">
        <f t="shared" ref="N303:N334" si="15">SUM(I303:M303)</f>
        <v>300</v>
      </c>
      <c r="O303" s="98"/>
      <c r="P303" s="95" t="s">
        <v>489</v>
      </c>
      <c r="Q303" s="101">
        <v>45918</v>
      </c>
      <c r="R303" s="248">
        <v>45917</v>
      </c>
    </row>
    <row r="304" spans="1:18" s="43" customFormat="1" ht="15.75" customHeight="1" x14ac:dyDescent="0.2">
      <c r="A304" s="245" t="s">
        <v>1487</v>
      </c>
      <c r="B304" s="229" t="s">
        <v>1483</v>
      </c>
      <c r="C304" s="95" t="s">
        <v>1485</v>
      </c>
      <c r="D304" s="95" t="s">
        <v>26</v>
      </c>
      <c r="E304" s="95" t="s">
        <v>1488</v>
      </c>
      <c r="F304" s="95" t="s">
        <v>406</v>
      </c>
      <c r="G304" s="101">
        <v>45912</v>
      </c>
      <c r="H304" s="95" t="s">
        <v>1450</v>
      </c>
      <c r="I304" s="97"/>
      <c r="J304" s="97">
        <v>49</v>
      </c>
      <c r="K304" s="97"/>
      <c r="L304" s="97"/>
      <c r="M304" s="97"/>
      <c r="N304" s="145">
        <f t="shared" si="15"/>
        <v>49</v>
      </c>
      <c r="O304" s="98"/>
      <c r="P304" s="95" t="s">
        <v>425</v>
      </c>
      <c r="Q304" s="101">
        <v>45919</v>
      </c>
      <c r="R304" s="248">
        <v>45918</v>
      </c>
    </row>
    <row r="305" spans="1:18" s="43" customFormat="1" ht="15.75" customHeight="1" x14ac:dyDescent="0.2">
      <c r="A305" s="245" t="s">
        <v>1489</v>
      </c>
      <c r="B305" s="229" t="s">
        <v>1484</v>
      </c>
      <c r="C305" s="95" t="s">
        <v>1486</v>
      </c>
      <c r="D305" s="95" t="s">
        <v>26</v>
      </c>
      <c r="E305" s="95" t="s">
        <v>625</v>
      </c>
      <c r="F305" s="95" t="s">
        <v>406</v>
      </c>
      <c r="G305" s="101">
        <v>45915</v>
      </c>
      <c r="H305" s="95" t="s">
        <v>1450</v>
      </c>
      <c r="I305" s="97"/>
      <c r="J305" s="97">
        <v>63</v>
      </c>
      <c r="K305" s="97"/>
      <c r="L305" s="97">
        <v>10</v>
      </c>
      <c r="M305" s="97"/>
      <c r="N305" s="145">
        <f t="shared" si="15"/>
        <v>73</v>
      </c>
      <c r="O305" s="98"/>
      <c r="P305" s="95" t="s">
        <v>425</v>
      </c>
      <c r="Q305" s="101">
        <v>45919</v>
      </c>
      <c r="R305" s="248">
        <v>45919</v>
      </c>
    </row>
    <row r="306" spans="1:18" s="43" customFormat="1" ht="15.75" customHeight="1" x14ac:dyDescent="0.2">
      <c r="A306" s="245" t="s">
        <v>1124</v>
      </c>
      <c r="B306" s="229" t="s">
        <v>1490</v>
      </c>
      <c r="C306" s="95" t="s">
        <v>1491</v>
      </c>
      <c r="D306" s="95" t="s">
        <v>26</v>
      </c>
      <c r="E306" s="95" t="s">
        <v>1077</v>
      </c>
      <c r="F306" s="95" t="s">
        <v>406</v>
      </c>
      <c r="G306" s="101">
        <v>45917</v>
      </c>
      <c r="H306" s="95" t="s">
        <v>1450</v>
      </c>
      <c r="I306" s="97"/>
      <c r="J306" s="97">
        <v>58.5</v>
      </c>
      <c r="K306" s="97"/>
      <c r="L306" s="97"/>
      <c r="M306" s="97"/>
      <c r="N306" s="145">
        <f t="shared" si="15"/>
        <v>58.5</v>
      </c>
      <c r="O306" s="98"/>
      <c r="P306" s="95" t="s">
        <v>429</v>
      </c>
      <c r="Q306" s="101">
        <v>45919</v>
      </c>
      <c r="R306" s="248">
        <v>45920</v>
      </c>
    </row>
    <row r="307" spans="1:18" s="43" customFormat="1" ht="15.75" customHeight="1" x14ac:dyDescent="0.2">
      <c r="A307" s="245" t="s">
        <v>1492</v>
      </c>
      <c r="B307" s="229" t="s">
        <v>1494</v>
      </c>
      <c r="C307" s="95" t="s">
        <v>1493</v>
      </c>
      <c r="D307" s="95" t="s">
        <v>26</v>
      </c>
      <c r="E307" s="95" t="s">
        <v>436</v>
      </c>
      <c r="F307" s="95" t="s">
        <v>406</v>
      </c>
      <c r="G307" s="101">
        <v>45916</v>
      </c>
      <c r="H307" s="95" t="s">
        <v>1450</v>
      </c>
      <c r="I307" s="97"/>
      <c r="J307" s="97">
        <v>93</v>
      </c>
      <c r="K307" s="97"/>
      <c r="L307" s="97"/>
      <c r="M307" s="97"/>
      <c r="N307" s="145">
        <f t="shared" si="15"/>
        <v>93</v>
      </c>
      <c r="O307" s="98"/>
      <c r="P307" s="95" t="s">
        <v>1190</v>
      </c>
      <c r="Q307" s="101">
        <v>45919</v>
      </c>
      <c r="R307" s="42"/>
    </row>
    <row r="308" spans="1:18" s="43" customFormat="1" ht="15.75" customHeight="1" x14ac:dyDescent="0.2">
      <c r="A308" s="245" t="s">
        <v>1245</v>
      </c>
      <c r="B308" s="229" t="s">
        <v>1496</v>
      </c>
      <c r="C308" s="95" t="s">
        <v>1495</v>
      </c>
      <c r="D308" s="95" t="s">
        <v>39</v>
      </c>
      <c r="E308" s="95" t="s">
        <v>436</v>
      </c>
      <c r="F308" s="95" t="s">
        <v>406</v>
      </c>
      <c r="G308" s="101">
        <v>45917</v>
      </c>
      <c r="H308" s="95" t="s">
        <v>1450</v>
      </c>
      <c r="I308" s="97"/>
      <c r="J308" s="97"/>
      <c r="K308" s="97"/>
      <c r="L308" s="97">
        <v>14</v>
      </c>
      <c r="M308" s="97"/>
      <c r="N308" s="145">
        <f t="shared" si="15"/>
        <v>14</v>
      </c>
      <c r="O308" s="98"/>
      <c r="P308" s="95" t="s">
        <v>489</v>
      </c>
      <c r="Q308" s="101">
        <v>45922</v>
      </c>
      <c r="R308" s="42"/>
    </row>
    <row r="309" spans="1:18" s="43" customFormat="1" ht="15.75" customHeight="1" x14ac:dyDescent="0.2">
      <c r="A309" s="245" t="s">
        <v>1502</v>
      </c>
      <c r="B309" s="229" t="s">
        <v>1497</v>
      </c>
      <c r="C309" s="95" t="s">
        <v>1500</v>
      </c>
      <c r="D309" s="95" t="s">
        <v>33</v>
      </c>
      <c r="E309" s="95" t="s">
        <v>436</v>
      </c>
      <c r="F309" s="95" t="s">
        <v>406</v>
      </c>
      <c r="G309" s="101">
        <v>45918</v>
      </c>
      <c r="H309" s="95" t="s">
        <v>1450</v>
      </c>
      <c r="I309" s="97"/>
      <c r="J309" s="97">
        <v>7</v>
      </c>
      <c r="K309" s="97"/>
      <c r="L309" s="97">
        <v>13</v>
      </c>
      <c r="M309" s="97"/>
      <c r="N309" s="145">
        <f t="shared" si="15"/>
        <v>20</v>
      </c>
      <c r="O309" s="98"/>
      <c r="P309" s="95" t="s">
        <v>425</v>
      </c>
      <c r="Q309" s="101">
        <v>45922</v>
      </c>
      <c r="R309" s="42"/>
    </row>
    <row r="310" spans="1:18" s="43" customFormat="1" ht="15.75" customHeight="1" x14ac:dyDescent="0.2">
      <c r="A310" s="245" t="s">
        <v>1502</v>
      </c>
      <c r="B310" s="229" t="s">
        <v>1498</v>
      </c>
      <c r="C310" s="95" t="s">
        <v>1501</v>
      </c>
      <c r="D310" s="95" t="s">
        <v>33</v>
      </c>
      <c r="E310" s="95" t="s">
        <v>436</v>
      </c>
      <c r="F310" s="95" t="s">
        <v>406</v>
      </c>
      <c r="G310" s="101">
        <v>45919</v>
      </c>
      <c r="H310" s="95" t="s">
        <v>1450</v>
      </c>
      <c r="I310" s="97"/>
      <c r="J310" s="97"/>
      <c r="K310" s="97"/>
      <c r="L310" s="97">
        <v>13</v>
      </c>
      <c r="M310" s="97"/>
      <c r="N310" s="145">
        <f t="shared" si="15"/>
        <v>13</v>
      </c>
      <c r="O310" s="98"/>
      <c r="P310" s="95" t="s">
        <v>1190</v>
      </c>
      <c r="Q310" s="101">
        <v>45922</v>
      </c>
      <c r="R310" s="42"/>
    </row>
    <row r="311" spans="1:18" s="43" customFormat="1" ht="15.75" customHeight="1" x14ac:dyDescent="0.2">
      <c r="A311" s="245" t="s">
        <v>1502</v>
      </c>
      <c r="B311" s="229" t="s">
        <v>1499</v>
      </c>
      <c r="C311" s="95" t="s">
        <v>1501</v>
      </c>
      <c r="D311" s="95" t="s">
        <v>33</v>
      </c>
      <c r="E311" s="95" t="s">
        <v>436</v>
      </c>
      <c r="F311" s="95" t="s">
        <v>406</v>
      </c>
      <c r="G311" s="101">
        <v>45920</v>
      </c>
      <c r="H311" s="95" t="s">
        <v>1450</v>
      </c>
      <c r="I311" s="97"/>
      <c r="J311" s="97">
        <v>7</v>
      </c>
      <c r="K311" s="97"/>
      <c r="L311" s="97">
        <v>13</v>
      </c>
      <c r="M311" s="97"/>
      <c r="N311" s="145">
        <f t="shared" si="15"/>
        <v>20</v>
      </c>
      <c r="O311" s="98"/>
      <c r="P311" s="95" t="s">
        <v>489</v>
      </c>
      <c r="Q311" s="101">
        <v>45922</v>
      </c>
      <c r="R311" s="42"/>
    </row>
    <row r="312" spans="1:18" s="43" customFormat="1" ht="15.75" customHeight="1" x14ac:dyDescent="0.2">
      <c r="A312" s="245" t="s">
        <v>1296</v>
      </c>
      <c r="B312" s="229" t="s">
        <v>1503</v>
      </c>
      <c r="C312" s="95" t="s">
        <v>1505</v>
      </c>
      <c r="D312" s="95" t="s">
        <v>26</v>
      </c>
      <c r="E312" s="95" t="s">
        <v>436</v>
      </c>
      <c r="F312" s="95" t="s">
        <v>406</v>
      </c>
      <c r="G312" s="101">
        <v>45919</v>
      </c>
      <c r="H312" s="95" t="s">
        <v>1450</v>
      </c>
      <c r="I312" s="97"/>
      <c r="J312" s="97">
        <v>10</v>
      </c>
      <c r="K312" s="97"/>
      <c r="L312" s="97">
        <v>15</v>
      </c>
      <c r="M312" s="97"/>
      <c r="N312" s="145">
        <f t="shared" si="15"/>
        <v>25</v>
      </c>
      <c r="O312" s="98"/>
      <c r="P312" s="95" t="s">
        <v>1190</v>
      </c>
      <c r="Q312" s="101">
        <v>45924</v>
      </c>
      <c r="R312" s="42"/>
    </row>
    <row r="313" spans="1:18" s="43" customFormat="1" ht="15.75" customHeight="1" x14ac:dyDescent="0.2">
      <c r="A313" s="245" t="s">
        <v>1296</v>
      </c>
      <c r="B313" s="229" t="s">
        <v>1504</v>
      </c>
      <c r="C313" s="95" t="s">
        <v>1505</v>
      </c>
      <c r="D313" s="95" t="s">
        <v>26</v>
      </c>
      <c r="E313" s="95" t="s">
        <v>436</v>
      </c>
      <c r="F313" s="95" t="s">
        <v>406</v>
      </c>
      <c r="G313" s="101">
        <v>45919</v>
      </c>
      <c r="H313" s="95" t="s">
        <v>1450</v>
      </c>
      <c r="I313" s="97"/>
      <c r="J313" s="97">
        <v>10</v>
      </c>
      <c r="K313" s="97"/>
      <c r="L313" s="97">
        <v>15</v>
      </c>
      <c r="M313" s="97"/>
      <c r="N313" s="145">
        <f t="shared" si="15"/>
        <v>25</v>
      </c>
      <c r="O313" s="98"/>
      <c r="P313" s="95" t="s">
        <v>425</v>
      </c>
      <c r="Q313" s="101">
        <v>45924</v>
      </c>
      <c r="R313" s="42"/>
    </row>
    <row r="314" spans="1:18" s="43" customFormat="1" ht="15.75" customHeight="1" x14ac:dyDescent="0.2">
      <c r="A314" s="245" t="s">
        <v>1508</v>
      </c>
      <c r="B314" s="229" t="s">
        <v>1509</v>
      </c>
      <c r="C314" s="95" t="s">
        <v>1507</v>
      </c>
      <c r="D314" s="95" t="s">
        <v>26</v>
      </c>
      <c r="E314" s="95" t="s">
        <v>436</v>
      </c>
      <c r="F314" s="95" t="s">
        <v>406</v>
      </c>
      <c r="G314" s="101">
        <v>45919</v>
      </c>
      <c r="H314" s="95" t="s">
        <v>1450</v>
      </c>
      <c r="I314" s="97"/>
      <c r="J314" s="97">
        <v>21</v>
      </c>
      <c r="K314" s="97"/>
      <c r="L314" s="97">
        <v>15</v>
      </c>
      <c r="M314" s="97"/>
      <c r="N314" s="145">
        <f t="shared" si="15"/>
        <v>36</v>
      </c>
      <c r="O314" s="98"/>
      <c r="P314" s="95" t="s">
        <v>1190</v>
      </c>
      <c r="Q314" s="101">
        <v>45924</v>
      </c>
      <c r="R314" s="42"/>
    </row>
    <row r="315" spans="1:18" s="43" customFormat="1" ht="15.75" customHeight="1" x14ac:dyDescent="0.2">
      <c r="A315" s="245" t="s">
        <v>1508</v>
      </c>
      <c r="B315" s="229" t="s">
        <v>1510</v>
      </c>
      <c r="C315" s="95" t="s">
        <v>1507</v>
      </c>
      <c r="D315" s="95" t="s">
        <v>26</v>
      </c>
      <c r="E315" s="95" t="s">
        <v>436</v>
      </c>
      <c r="F315" s="95" t="s">
        <v>406</v>
      </c>
      <c r="G315" s="101">
        <v>45919</v>
      </c>
      <c r="H315" s="95" t="s">
        <v>1450</v>
      </c>
      <c r="I315" s="97"/>
      <c r="J315" s="97">
        <v>18</v>
      </c>
      <c r="K315" s="97"/>
      <c r="L315" s="97">
        <v>15</v>
      </c>
      <c r="M315" s="97"/>
      <c r="N315" s="145">
        <f t="shared" si="15"/>
        <v>33</v>
      </c>
      <c r="O315" s="98"/>
      <c r="P315" s="95" t="s">
        <v>489</v>
      </c>
      <c r="Q315" s="101">
        <v>45924</v>
      </c>
      <c r="R315" s="42"/>
    </row>
    <row r="316" spans="1:18" s="43" customFormat="1" ht="15.75" customHeight="1" x14ac:dyDescent="0.2">
      <c r="A316" s="245" t="s">
        <v>1296</v>
      </c>
      <c r="B316" s="229" t="s">
        <v>1512</v>
      </c>
      <c r="C316" s="95" t="s">
        <v>1511</v>
      </c>
      <c r="D316" s="95" t="s">
        <v>26</v>
      </c>
      <c r="E316" s="95" t="s">
        <v>436</v>
      </c>
      <c r="F316" s="95" t="s">
        <v>406</v>
      </c>
      <c r="G316" s="101">
        <v>45919</v>
      </c>
      <c r="H316" s="95" t="s">
        <v>1450</v>
      </c>
      <c r="I316" s="97"/>
      <c r="J316" s="97">
        <v>7</v>
      </c>
      <c r="K316" s="97"/>
      <c r="L316" s="97">
        <v>15</v>
      </c>
      <c r="M316" s="97"/>
      <c r="N316" s="145">
        <f t="shared" si="15"/>
        <v>22</v>
      </c>
      <c r="O316" s="98"/>
      <c r="P316" s="95" t="s">
        <v>429</v>
      </c>
      <c r="Q316" s="101">
        <v>45924</v>
      </c>
      <c r="R316" s="42"/>
    </row>
    <row r="317" spans="1:18" s="43" customFormat="1" ht="15.75" customHeight="1" x14ac:dyDescent="0.2">
      <c r="A317" s="245" t="s">
        <v>1514</v>
      </c>
      <c r="B317" s="229" t="s">
        <v>1513</v>
      </c>
      <c r="C317" s="95" t="s">
        <v>1515</v>
      </c>
      <c r="D317" s="95" t="s">
        <v>383</v>
      </c>
      <c r="E317" s="95" t="s">
        <v>436</v>
      </c>
      <c r="F317" s="95" t="s">
        <v>406</v>
      </c>
      <c r="G317" s="101">
        <v>45925</v>
      </c>
      <c r="H317" s="95" t="s">
        <v>1450</v>
      </c>
      <c r="I317" s="97"/>
      <c r="J317" s="97">
        <v>20</v>
      </c>
      <c r="K317" s="97"/>
      <c r="L317" s="97">
        <v>15</v>
      </c>
      <c r="M317" s="97"/>
      <c r="N317" s="145">
        <f t="shared" si="15"/>
        <v>35</v>
      </c>
      <c r="O317" s="98"/>
      <c r="P317" s="95" t="s">
        <v>489</v>
      </c>
      <c r="Q317" s="101">
        <v>45939</v>
      </c>
      <c r="R317" s="42"/>
    </row>
    <row r="318" spans="1:18" s="43" customFormat="1" ht="15.75" customHeight="1" x14ac:dyDescent="0.2">
      <c r="A318" s="245" t="s">
        <v>1516</v>
      </c>
      <c r="B318" s="229" t="s">
        <v>1518</v>
      </c>
      <c r="C318" s="95" t="s">
        <v>1517</v>
      </c>
      <c r="D318" s="95" t="s">
        <v>26</v>
      </c>
      <c r="E318" s="95" t="s">
        <v>449</v>
      </c>
      <c r="F318" s="95" t="s">
        <v>406</v>
      </c>
      <c r="G318" s="101">
        <v>45906</v>
      </c>
      <c r="H318" s="95" t="s">
        <v>1450</v>
      </c>
      <c r="I318" s="97"/>
      <c r="J318" s="97">
        <v>90</v>
      </c>
      <c r="K318" s="97"/>
      <c r="L318" s="97">
        <v>130</v>
      </c>
      <c r="M318" s="97">
        <v>280</v>
      </c>
      <c r="N318" s="145">
        <f t="shared" si="15"/>
        <v>500</v>
      </c>
      <c r="O318" s="98"/>
      <c r="P318" s="95" t="s">
        <v>520</v>
      </c>
      <c r="Q318" s="101">
        <v>45932</v>
      </c>
      <c r="R318" s="42"/>
    </row>
    <row r="319" spans="1:18" s="43" customFormat="1" ht="15.75" customHeight="1" x14ac:dyDescent="0.2">
      <c r="A319" s="245" t="s">
        <v>1296</v>
      </c>
      <c r="B319" s="229" t="s">
        <v>1521</v>
      </c>
      <c r="C319" s="95" t="s">
        <v>1505</v>
      </c>
      <c r="D319" s="95" t="s">
        <v>26</v>
      </c>
      <c r="E319" s="95" t="s">
        <v>436</v>
      </c>
      <c r="F319" s="95" t="s">
        <v>406</v>
      </c>
      <c r="G319" s="101">
        <v>45919</v>
      </c>
      <c r="H319" s="95" t="s">
        <v>1450</v>
      </c>
      <c r="I319" s="97"/>
      <c r="J319" s="97">
        <v>42</v>
      </c>
      <c r="K319" s="97"/>
      <c r="L319" s="97">
        <v>30</v>
      </c>
      <c r="M319" s="97"/>
      <c r="N319" s="145">
        <f t="shared" si="15"/>
        <v>72</v>
      </c>
      <c r="O319" s="98"/>
      <c r="P319" s="95" t="s">
        <v>1190</v>
      </c>
      <c r="Q319" s="101">
        <v>45936</v>
      </c>
      <c r="R319" s="42"/>
    </row>
    <row r="320" spans="1:18" s="43" customFormat="1" ht="15.75" customHeight="1" x14ac:dyDescent="0.2">
      <c r="A320" s="245" t="s">
        <v>1524</v>
      </c>
      <c r="B320" s="229" t="s">
        <v>1522</v>
      </c>
      <c r="C320" s="95" t="s">
        <v>1523</v>
      </c>
      <c r="D320" s="95" t="s">
        <v>383</v>
      </c>
      <c r="E320" s="95" t="s">
        <v>436</v>
      </c>
      <c r="F320" s="95" t="s">
        <v>406</v>
      </c>
      <c r="G320" s="101">
        <v>45929</v>
      </c>
      <c r="H320" s="95" t="s">
        <v>1450</v>
      </c>
      <c r="I320" s="97"/>
      <c r="J320" s="97">
        <v>7.5</v>
      </c>
      <c r="K320" s="97"/>
      <c r="L320" s="97"/>
      <c r="M320" s="97"/>
      <c r="N320" s="145">
        <f t="shared" si="15"/>
        <v>7.5</v>
      </c>
      <c r="O320" s="98"/>
      <c r="P320" s="95" t="s">
        <v>1190</v>
      </c>
      <c r="Q320" s="101">
        <v>45936</v>
      </c>
      <c r="R320" s="42"/>
    </row>
    <row r="321" spans="1:18" s="43" customFormat="1" ht="15.75" customHeight="1" x14ac:dyDescent="0.2">
      <c r="A321" s="245" t="s">
        <v>1527</v>
      </c>
      <c r="B321" s="229" t="s">
        <v>1525</v>
      </c>
      <c r="C321" s="95" t="s">
        <v>1526</v>
      </c>
      <c r="D321" s="95" t="s">
        <v>26</v>
      </c>
      <c r="E321" s="95" t="s">
        <v>436</v>
      </c>
      <c r="F321" s="95" t="s">
        <v>406</v>
      </c>
      <c r="G321" s="101">
        <v>45894</v>
      </c>
      <c r="H321" s="95" t="s">
        <v>1450</v>
      </c>
      <c r="I321" s="97">
        <v>50</v>
      </c>
      <c r="J321" s="97">
        <v>20</v>
      </c>
      <c r="K321" s="97"/>
      <c r="L321" s="97">
        <v>80</v>
      </c>
      <c r="M321" s="97">
        <v>200</v>
      </c>
      <c r="N321" s="145">
        <f t="shared" si="15"/>
        <v>350</v>
      </c>
      <c r="O321" s="98"/>
      <c r="P321" s="95" t="s">
        <v>520</v>
      </c>
      <c r="Q321" s="101">
        <v>45936</v>
      </c>
      <c r="R321" s="42"/>
    </row>
    <row r="322" spans="1:18" s="43" customFormat="1" ht="15.75" customHeight="1" x14ac:dyDescent="0.2">
      <c r="A322" s="245" t="s">
        <v>1296</v>
      </c>
      <c r="B322" s="229" t="s">
        <v>1529</v>
      </c>
      <c r="C322" s="95" t="s">
        <v>1505</v>
      </c>
      <c r="D322" s="95" t="s">
        <v>26</v>
      </c>
      <c r="E322" s="95" t="s">
        <v>436</v>
      </c>
      <c r="F322" s="95" t="s">
        <v>461</v>
      </c>
      <c r="G322" s="101">
        <v>45928</v>
      </c>
      <c r="H322" s="95" t="s">
        <v>1450</v>
      </c>
      <c r="I322" s="97"/>
      <c r="J322" s="97">
        <v>40</v>
      </c>
      <c r="K322" s="97"/>
      <c r="L322" s="97">
        <v>30</v>
      </c>
      <c r="M322" s="97"/>
      <c r="N322" s="145">
        <f t="shared" si="15"/>
        <v>70</v>
      </c>
      <c r="O322" s="98"/>
      <c r="P322" s="95" t="s">
        <v>489</v>
      </c>
      <c r="Q322" s="101">
        <v>45936</v>
      </c>
      <c r="R322" s="42"/>
    </row>
    <row r="323" spans="1:18" s="43" customFormat="1" ht="15.75" customHeight="1" x14ac:dyDescent="0.2">
      <c r="A323" s="245" t="s">
        <v>1531</v>
      </c>
      <c r="B323" s="229" t="s">
        <v>1530</v>
      </c>
      <c r="C323" s="95" t="s">
        <v>1528</v>
      </c>
      <c r="D323" s="95" t="s">
        <v>26</v>
      </c>
      <c r="E323" s="95" t="s">
        <v>661</v>
      </c>
      <c r="F323" s="95" t="s">
        <v>406</v>
      </c>
      <c r="G323" s="101">
        <v>45935</v>
      </c>
      <c r="H323" s="95" t="s">
        <v>43</v>
      </c>
      <c r="I323" s="97">
        <v>100</v>
      </c>
      <c r="J323" s="97"/>
      <c r="K323" s="97"/>
      <c r="L323" s="97"/>
      <c r="M323" s="97"/>
      <c r="N323" s="145">
        <f t="shared" si="15"/>
        <v>100</v>
      </c>
      <c r="O323" s="266"/>
      <c r="P323" s="95" t="s">
        <v>520</v>
      </c>
      <c r="Q323" s="101">
        <v>45940</v>
      </c>
      <c r="R323" s="42"/>
    </row>
    <row r="324" spans="1:18" s="43" customFormat="1" ht="15.75" customHeight="1" x14ac:dyDescent="0.2">
      <c r="A324" s="245" t="s">
        <v>1533</v>
      </c>
      <c r="B324" s="229" t="s">
        <v>1534</v>
      </c>
      <c r="C324" s="95" t="s">
        <v>1536</v>
      </c>
      <c r="D324" s="95" t="s">
        <v>26</v>
      </c>
      <c r="E324" s="95" t="s">
        <v>413</v>
      </c>
      <c r="F324" s="95" t="s">
        <v>406</v>
      </c>
      <c r="G324" s="101">
        <v>45935</v>
      </c>
      <c r="H324" s="95" t="s">
        <v>43</v>
      </c>
      <c r="I324" s="97"/>
      <c r="J324" s="97">
        <v>45</v>
      </c>
      <c r="K324" s="97"/>
      <c r="L324" s="97">
        <v>35</v>
      </c>
      <c r="M324" s="97">
        <v>120</v>
      </c>
      <c r="N324" s="145">
        <f t="shared" si="15"/>
        <v>200</v>
      </c>
      <c r="O324" s="98"/>
      <c r="P324" s="95" t="s">
        <v>520</v>
      </c>
      <c r="Q324" s="101">
        <v>45939</v>
      </c>
      <c r="R324" s="42"/>
    </row>
    <row r="325" spans="1:18" s="43" customFormat="1" ht="26.25" customHeight="1" x14ac:dyDescent="0.2">
      <c r="A325" s="245" t="s">
        <v>800</v>
      </c>
      <c r="B325" s="229" t="s">
        <v>1535</v>
      </c>
      <c r="C325" s="99" t="s">
        <v>1537</v>
      </c>
      <c r="D325" s="95" t="s">
        <v>26</v>
      </c>
      <c r="E325" s="95" t="s">
        <v>445</v>
      </c>
      <c r="F325" s="95" t="s">
        <v>406</v>
      </c>
      <c r="G325" s="101">
        <v>45937</v>
      </c>
      <c r="H325" s="95" t="s">
        <v>43</v>
      </c>
      <c r="I325" s="97">
        <v>250</v>
      </c>
      <c r="J325" s="97">
        <v>50</v>
      </c>
      <c r="K325" s="97">
        <v>60</v>
      </c>
      <c r="L325" s="97">
        <v>40</v>
      </c>
      <c r="M325" s="97"/>
      <c r="N325" s="145">
        <f t="shared" si="15"/>
        <v>400</v>
      </c>
      <c r="O325" s="266"/>
      <c r="P325" s="95" t="s">
        <v>466</v>
      </c>
      <c r="Q325" s="101">
        <v>45939</v>
      </c>
      <c r="R325" s="42"/>
    </row>
    <row r="326" spans="1:18" s="43" customFormat="1" ht="15.75" customHeight="1" x14ac:dyDescent="0.2">
      <c r="A326" s="245" t="s">
        <v>1399</v>
      </c>
      <c r="B326" s="229" t="s">
        <v>1538</v>
      </c>
      <c r="C326" s="95" t="s">
        <v>1547</v>
      </c>
      <c r="D326" s="95" t="s">
        <v>26</v>
      </c>
      <c r="E326" s="95" t="s">
        <v>436</v>
      </c>
      <c r="F326" s="95" t="s">
        <v>406</v>
      </c>
      <c r="G326" s="101">
        <v>45937</v>
      </c>
      <c r="H326" s="95" t="s">
        <v>43</v>
      </c>
      <c r="I326" s="97"/>
      <c r="J326" s="97">
        <v>40</v>
      </c>
      <c r="K326" s="97"/>
      <c r="L326" s="97"/>
      <c r="M326" s="97"/>
      <c r="N326" s="145">
        <f t="shared" si="15"/>
        <v>40</v>
      </c>
      <c r="O326" s="98"/>
      <c r="P326" s="95" t="s">
        <v>429</v>
      </c>
      <c r="Q326" s="101">
        <v>45940</v>
      </c>
      <c r="R326" s="42"/>
    </row>
    <row r="327" spans="1:18" s="43" customFormat="1" ht="15.75" customHeight="1" x14ac:dyDescent="0.2">
      <c r="A327" s="245" t="s">
        <v>1539</v>
      </c>
      <c r="B327" s="229" t="s">
        <v>1541</v>
      </c>
      <c r="C327" s="95" t="s">
        <v>1540</v>
      </c>
      <c r="D327" s="95" t="s">
        <v>26</v>
      </c>
      <c r="E327" s="95" t="s">
        <v>536</v>
      </c>
      <c r="F327" s="95" t="s">
        <v>1542</v>
      </c>
      <c r="G327" s="101">
        <v>45938</v>
      </c>
      <c r="H327" s="95" t="s">
        <v>43</v>
      </c>
      <c r="I327" s="97"/>
      <c r="J327" s="97">
        <v>141</v>
      </c>
      <c r="K327" s="97"/>
      <c r="L327" s="97"/>
      <c r="M327" s="97"/>
      <c r="N327" s="145">
        <f t="shared" si="15"/>
        <v>141</v>
      </c>
      <c r="O327" s="98"/>
      <c r="P327" s="95" t="s">
        <v>1190</v>
      </c>
      <c r="Q327" s="101">
        <v>45940</v>
      </c>
      <c r="R327" s="42"/>
    </row>
    <row r="328" spans="1:18" s="43" customFormat="1" ht="15.75" customHeight="1" x14ac:dyDescent="0.2">
      <c r="A328" s="245" t="s">
        <v>686</v>
      </c>
      <c r="B328" s="229" t="s">
        <v>1543</v>
      </c>
      <c r="C328" s="95" t="s">
        <v>1546</v>
      </c>
      <c r="D328" s="95" t="s">
        <v>26</v>
      </c>
      <c r="E328" s="95" t="s">
        <v>710</v>
      </c>
      <c r="F328" s="95" t="s">
        <v>406</v>
      </c>
      <c r="G328" s="101">
        <v>45936</v>
      </c>
      <c r="H328" s="95" t="s">
        <v>43</v>
      </c>
      <c r="I328" s="97"/>
      <c r="J328" s="97"/>
      <c r="K328" s="97"/>
      <c r="L328" s="97">
        <v>15</v>
      </c>
      <c r="M328" s="97"/>
      <c r="N328" s="145">
        <f t="shared" si="15"/>
        <v>15</v>
      </c>
      <c r="O328" s="98"/>
      <c r="P328" s="95" t="s">
        <v>1190</v>
      </c>
      <c r="Q328" s="101">
        <v>45940</v>
      </c>
      <c r="R328" s="42"/>
    </row>
    <row r="329" spans="1:18" ht="15.75" customHeight="1" x14ac:dyDescent="0.2">
      <c r="A329" s="245" t="s">
        <v>686</v>
      </c>
      <c r="B329" s="229" t="s">
        <v>1544</v>
      </c>
      <c r="C329" s="95" t="s">
        <v>1548</v>
      </c>
      <c r="D329" s="95" t="s">
        <v>26</v>
      </c>
      <c r="E329" s="95" t="s">
        <v>710</v>
      </c>
      <c r="F329" s="95" t="s">
        <v>406</v>
      </c>
      <c r="G329" s="101">
        <v>45936</v>
      </c>
      <c r="H329" s="95" t="s">
        <v>43</v>
      </c>
      <c r="I329" s="97"/>
      <c r="J329" s="97">
        <v>12.5</v>
      </c>
      <c r="K329" s="97"/>
      <c r="L329" s="97">
        <v>15</v>
      </c>
      <c r="M329" s="97"/>
      <c r="N329" s="145">
        <f t="shared" si="15"/>
        <v>27.5</v>
      </c>
      <c r="O329" s="98"/>
      <c r="P329" s="95" t="s">
        <v>489</v>
      </c>
      <c r="Q329" s="101">
        <v>45943</v>
      </c>
      <c r="R329" s="1"/>
    </row>
    <row r="330" spans="1:18" ht="15.75" customHeight="1" x14ac:dyDescent="0.2">
      <c r="A330" s="245" t="s">
        <v>911</v>
      </c>
      <c r="B330" s="229" t="s">
        <v>1545</v>
      </c>
      <c r="C330" s="95" t="s">
        <v>1549</v>
      </c>
      <c r="D330" s="95" t="s">
        <v>33</v>
      </c>
      <c r="E330" s="95" t="s">
        <v>436</v>
      </c>
      <c r="F330" s="95" t="s">
        <v>406</v>
      </c>
      <c r="G330" s="101">
        <v>45940</v>
      </c>
      <c r="H330" s="95" t="s">
        <v>43</v>
      </c>
      <c r="I330" s="97"/>
      <c r="J330" s="97">
        <v>65</v>
      </c>
      <c r="K330" s="97"/>
      <c r="L330" s="97"/>
      <c r="M330" s="97"/>
      <c r="N330" s="145">
        <f t="shared" si="15"/>
        <v>65</v>
      </c>
      <c r="O330" s="98"/>
      <c r="P330" s="95" t="s">
        <v>1190</v>
      </c>
      <c r="Q330" s="101">
        <v>45944</v>
      </c>
      <c r="R330" s="1"/>
    </row>
    <row r="331" spans="1:18" ht="15.75" customHeight="1" x14ac:dyDescent="0.2">
      <c r="A331" s="245" t="s">
        <v>1480</v>
      </c>
      <c r="B331" s="229" t="s">
        <v>1551</v>
      </c>
      <c r="C331" s="95" t="s">
        <v>1550</v>
      </c>
      <c r="D331" s="95" t="s">
        <v>26</v>
      </c>
      <c r="E331" s="95" t="s">
        <v>661</v>
      </c>
      <c r="F331" s="95" t="s">
        <v>406</v>
      </c>
      <c r="G331" s="101">
        <v>45939</v>
      </c>
      <c r="H331" s="95" t="s">
        <v>43</v>
      </c>
      <c r="I331" s="97">
        <v>70</v>
      </c>
      <c r="J331" s="97"/>
      <c r="K331" s="97"/>
      <c r="L331" s="97"/>
      <c r="M331" s="97"/>
      <c r="N331" s="145">
        <f t="shared" si="15"/>
        <v>70</v>
      </c>
      <c r="O331" s="98"/>
      <c r="P331" s="95" t="s">
        <v>520</v>
      </c>
      <c r="Q331" s="101">
        <v>45945</v>
      </c>
      <c r="R331" s="1"/>
    </row>
    <row r="332" spans="1:18" ht="15.75" customHeight="1" x14ac:dyDescent="0.2">
      <c r="A332" s="245" t="s">
        <v>1553</v>
      </c>
      <c r="B332" s="229" t="s">
        <v>1554</v>
      </c>
      <c r="C332" s="95" t="s">
        <v>1552</v>
      </c>
      <c r="D332" s="95" t="s">
        <v>39</v>
      </c>
      <c r="E332" s="95" t="s">
        <v>436</v>
      </c>
      <c r="F332" s="95" t="s">
        <v>406</v>
      </c>
      <c r="G332" s="101">
        <v>45943</v>
      </c>
      <c r="H332" s="95" t="s">
        <v>43</v>
      </c>
      <c r="I332" s="97"/>
      <c r="J332" s="97">
        <v>32</v>
      </c>
      <c r="K332" s="97"/>
      <c r="L332" s="97"/>
      <c r="M332" s="97"/>
      <c r="N332" s="145">
        <f t="shared" si="15"/>
        <v>32</v>
      </c>
      <c r="O332" s="98"/>
      <c r="P332" s="95" t="s">
        <v>1190</v>
      </c>
      <c r="Q332" s="101">
        <v>45945</v>
      </c>
      <c r="R332" s="1"/>
    </row>
    <row r="333" spans="1:18" ht="15.75" customHeight="1" x14ac:dyDescent="0.2">
      <c r="A333" s="245" t="s">
        <v>1555</v>
      </c>
      <c r="B333" s="229" t="s">
        <v>1557</v>
      </c>
      <c r="C333" s="95" t="s">
        <v>1556</v>
      </c>
      <c r="D333" s="95" t="s">
        <v>26</v>
      </c>
      <c r="E333" s="95" t="s">
        <v>1079</v>
      </c>
      <c r="F333" s="95" t="s">
        <v>406</v>
      </c>
      <c r="G333" s="101">
        <v>45940</v>
      </c>
      <c r="H333" s="95" t="s">
        <v>43</v>
      </c>
      <c r="I333" s="97"/>
      <c r="J333" s="97">
        <v>91.5</v>
      </c>
      <c r="K333" s="97"/>
      <c r="L333" s="97"/>
      <c r="M333" s="97"/>
      <c r="N333" s="145">
        <f t="shared" si="15"/>
        <v>91.5</v>
      </c>
      <c r="O333" s="98"/>
      <c r="P333" s="95" t="s">
        <v>429</v>
      </c>
      <c r="Q333" s="101">
        <v>45945</v>
      </c>
      <c r="R333" s="1"/>
    </row>
    <row r="334" spans="1:18" s="43" customFormat="1" ht="15.75" customHeight="1" x14ac:dyDescent="0.2">
      <c r="A334" s="245" t="s">
        <v>1199</v>
      </c>
      <c r="B334" s="229" t="s">
        <v>1560</v>
      </c>
      <c r="C334" s="95" t="s">
        <v>1559</v>
      </c>
      <c r="D334" s="95" t="s">
        <v>26</v>
      </c>
      <c r="E334" s="95" t="s">
        <v>661</v>
      </c>
      <c r="F334" s="95" t="s">
        <v>406</v>
      </c>
      <c r="G334" s="95"/>
      <c r="H334" s="95" t="s">
        <v>43</v>
      </c>
      <c r="I334" s="97">
        <v>180</v>
      </c>
      <c r="J334" s="97">
        <v>35</v>
      </c>
      <c r="K334" s="97">
        <v>40</v>
      </c>
      <c r="L334" s="97">
        <v>45</v>
      </c>
      <c r="M334" s="97"/>
      <c r="N334" s="145">
        <f t="shared" si="15"/>
        <v>300</v>
      </c>
      <c r="O334" s="269"/>
      <c r="P334" s="95" t="s">
        <v>520</v>
      </c>
      <c r="Q334" s="101">
        <v>45945</v>
      </c>
      <c r="R334" s="42"/>
    </row>
    <row r="335" spans="1:18" ht="15.75" customHeight="1" x14ac:dyDescent="0.2">
      <c r="A335" s="245" t="s">
        <v>1245</v>
      </c>
      <c r="B335" s="229" t="s">
        <v>1561</v>
      </c>
      <c r="C335" s="95" t="s">
        <v>1552</v>
      </c>
      <c r="D335" s="95" t="s">
        <v>39</v>
      </c>
      <c r="E335" s="95" t="s">
        <v>436</v>
      </c>
      <c r="F335" s="95" t="s">
        <v>406</v>
      </c>
      <c r="G335" s="101">
        <v>45943</v>
      </c>
      <c r="H335" s="95" t="s">
        <v>43</v>
      </c>
      <c r="I335" s="97"/>
      <c r="J335" s="97">
        <v>32</v>
      </c>
      <c r="K335" s="97"/>
      <c r="L335" s="97"/>
      <c r="M335" s="97"/>
      <c r="N335" s="145">
        <f t="shared" ref="N335:N354" si="16">SUM(I335:M335)</f>
        <v>32</v>
      </c>
      <c r="O335" s="98"/>
      <c r="P335" s="95" t="s">
        <v>1190</v>
      </c>
      <c r="Q335" s="101">
        <v>45945</v>
      </c>
      <c r="R335" s="1"/>
    </row>
    <row r="336" spans="1:18" s="43" customFormat="1" ht="15.75" customHeight="1" x14ac:dyDescent="0.2">
      <c r="A336" s="245" t="s">
        <v>1402</v>
      </c>
      <c r="B336" s="229" t="s">
        <v>1562</v>
      </c>
      <c r="C336" s="95" t="s">
        <v>1563</v>
      </c>
      <c r="D336" s="95" t="s">
        <v>33</v>
      </c>
      <c r="E336" s="95" t="s">
        <v>1404</v>
      </c>
      <c r="F336" s="95" t="s">
        <v>406</v>
      </c>
      <c r="G336" s="139"/>
      <c r="H336" s="95" t="s">
        <v>43</v>
      </c>
      <c r="I336" s="97">
        <v>220</v>
      </c>
      <c r="J336" s="97">
        <v>70</v>
      </c>
      <c r="K336" s="97"/>
      <c r="L336" s="97">
        <v>60</v>
      </c>
      <c r="M336" s="97"/>
      <c r="N336" s="145">
        <f t="shared" si="16"/>
        <v>350</v>
      </c>
      <c r="O336" s="268">
        <v>328</v>
      </c>
      <c r="P336" s="95" t="s">
        <v>1190</v>
      </c>
      <c r="Q336" s="101">
        <v>45947</v>
      </c>
      <c r="R336" s="249"/>
    </row>
    <row r="337" spans="1:18" ht="15.75" customHeight="1" x14ac:dyDescent="0.2">
      <c r="A337" s="245" t="s">
        <v>1412</v>
      </c>
      <c r="B337" s="229" t="s">
        <v>1565</v>
      </c>
      <c r="C337" s="95" t="s">
        <v>1564</v>
      </c>
      <c r="D337" s="95" t="s">
        <v>26</v>
      </c>
      <c r="E337" s="95" t="s">
        <v>1084</v>
      </c>
      <c r="F337" s="95" t="s">
        <v>406</v>
      </c>
      <c r="G337" s="101">
        <v>45944</v>
      </c>
      <c r="H337" s="95" t="s">
        <v>43</v>
      </c>
      <c r="I337" s="97"/>
      <c r="J337" s="97">
        <v>70.5</v>
      </c>
      <c r="K337" s="97"/>
      <c r="L337" s="97"/>
      <c r="M337" s="97"/>
      <c r="N337" s="145">
        <f t="shared" si="16"/>
        <v>70.5</v>
      </c>
      <c r="O337" s="98"/>
      <c r="P337" s="95" t="s">
        <v>429</v>
      </c>
      <c r="Q337" s="101">
        <v>45950</v>
      </c>
      <c r="R337" s="1"/>
    </row>
    <row r="338" spans="1:18" ht="15.75" customHeight="1" x14ac:dyDescent="0.2">
      <c r="A338" s="245" t="s">
        <v>1566</v>
      </c>
      <c r="B338" s="229" t="s">
        <v>1568</v>
      </c>
      <c r="C338" s="95" t="s">
        <v>1567</v>
      </c>
      <c r="D338" s="95" t="s">
        <v>33</v>
      </c>
      <c r="E338" s="95" t="s">
        <v>436</v>
      </c>
      <c r="F338" s="95" t="s">
        <v>406</v>
      </c>
      <c r="G338" s="101">
        <v>45944</v>
      </c>
      <c r="H338" s="95" t="s">
        <v>43</v>
      </c>
      <c r="I338" s="97"/>
      <c r="J338" s="97">
        <v>18.5</v>
      </c>
      <c r="K338" s="97"/>
      <c r="L338" s="97"/>
      <c r="M338" s="97"/>
      <c r="N338" s="145">
        <f t="shared" si="16"/>
        <v>18.5</v>
      </c>
      <c r="O338" s="98"/>
      <c r="P338" s="95" t="s">
        <v>425</v>
      </c>
      <c r="Q338" s="101">
        <v>45950</v>
      </c>
      <c r="R338" s="1"/>
    </row>
    <row r="339" spans="1:18" ht="15.75" customHeight="1" x14ac:dyDescent="0.2">
      <c r="A339" s="245" t="s">
        <v>1219</v>
      </c>
      <c r="B339" s="229" t="s">
        <v>1569</v>
      </c>
      <c r="C339" s="95" t="s">
        <v>1571</v>
      </c>
      <c r="D339" s="95" t="s">
        <v>26</v>
      </c>
      <c r="E339" s="95" t="s">
        <v>1077</v>
      </c>
      <c r="F339" s="95" t="s">
        <v>406</v>
      </c>
      <c r="G339" s="101">
        <v>45943</v>
      </c>
      <c r="H339" s="95" t="s">
        <v>43</v>
      </c>
      <c r="I339" s="97"/>
      <c r="J339" s="97">
        <v>188</v>
      </c>
      <c r="K339" s="97"/>
      <c r="L339" s="97">
        <v>50</v>
      </c>
      <c r="M339" s="97"/>
      <c r="N339" s="145">
        <f t="shared" si="16"/>
        <v>238</v>
      </c>
      <c r="O339" s="98"/>
      <c r="P339" s="95" t="s">
        <v>425</v>
      </c>
      <c r="Q339" s="101">
        <v>45950</v>
      </c>
      <c r="R339" s="1"/>
    </row>
    <row r="340" spans="1:18" ht="15.75" customHeight="1" x14ac:dyDescent="0.2">
      <c r="A340" s="245" t="s">
        <v>1573</v>
      </c>
      <c r="B340" s="229" t="s">
        <v>1570</v>
      </c>
      <c r="C340" s="95" t="s">
        <v>1572</v>
      </c>
      <c r="D340" s="95" t="s">
        <v>26</v>
      </c>
      <c r="E340" s="95" t="s">
        <v>710</v>
      </c>
      <c r="F340" s="95" t="s">
        <v>406</v>
      </c>
      <c r="G340" s="101">
        <v>45944</v>
      </c>
      <c r="H340" s="95" t="s">
        <v>43</v>
      </c>
      <c r="I340" s="97"/>
      <c r="J340" s="97">
        <v>202</v>
      </c>
      <c r="K340" s="97"/>
      <c r="L340" s="97">
        <v>87</v>
      </c>
      <c r="M340" s="97"/>
      <c r="N340" s="145">
        <f t="shared" si="16"/>
        <v>289</v>
      </c>
      <c r="O340" s="98"/>
      <c r="P340" s="95" t="s">
        <v>417</v>
      </c>
      <c r="Q340" s="101">
        <v>45950</v>
      </c>
      <c r="R340" s="1"/>
    </row>
    <row r="341" spans="1:18" ht="15.75" customHeight="1" x14ac:dyDescent="0.2">
      <c r="A341" s="245" t="s">
        <v>1574</v>
      </c>
      <c r="B341" s="229" t="s">
        <v>1576</v>
      </c>
      <c r="C341" s="95" t="s">
        <v>1575</v>
      </c>
      <c r="D341" s="95" t="s">
        <v>26</v>
      </c>
      <c r="E341" s="95" t="s">
        <v>661</v>
      </c>
      <c r="F341" s="95" t="s">
        <v>406</v>
      </c>
      <c r="G341" s="101">
        <v>45951</v>
      </c>
      <c r="H341" s="95" t="s">
        <v>43</v>
      </c>
      <c r="I341" s="97">
        <v>100</v>
      </c>
      <c r="J341" s="97"/>
      <c r="K341" s="97"/>
      <c r="L341" s="97"/>
      <c r="M341" s="97"/>
      <c r="N341" s="145">
        <f t="shared" si="16"/>
        <v>100</v>
      </c>
      <c r="O341" s="98"/>
      <c r="P341" s="270" t="s">
        <v>425</v>
      </c>
      <c r="Q341" s="101">
        <v>45952</v>
      </c>
      <c r="R341" s="1"/>
    </row>
    <row r="342" spans="1:18" ht="15.75" customHeight="1" x14ac:dyDescent="0.2">
      <c r="A342" s="245" t="s">
        <v>1124</v>
      </c>
      <c r="B342" s="229" t="s">
        <v>1578</v>
      </c>
      <c r="C342" s="95" t="s">
        <v>1577</v>
      </c>
      <c r="D342" s="95" t="s">
        <v>26</v>
      </c>
      <c r="E342" s="95" t="s">
        <v>1084</v>
      </c>
      <c r="F342" s="95" t="s">
        <v>406</v>
      </c>
      <c r="G342" s="101">
        <v>45952</v>
      </c>
      <c r="H342" s="95" t="s">
        <v>43</v>
      </c>
      <c r="I342" s="97"/>
      <c r="J342" s="97">
        <v>90</v>
      </c>
      <c r="K342" s="97">
        <v>50</v>
      </c>
      <c r="L342" s="97">
        <v>60</v>
      </c>
      <c r="M342" s="97"/>
      <c r="N342" s="145">
        <f t="shared" si="16"/>
        <v>200</v>
      </c>
      <c r="O342" s="98"/>
      <c r="P342" s="95" t="s">
        <v>417</v>
      </c>
      <c r="Q342" s="101">
        <v>45952</v>
      </c>
      <c r="R342" s="1"/>
    </row>
    <row r="343" spans="1:18" ht="15.75" customHeight="1" x14ac:dyDescent="0.2">
      <c r="A343" s="245" t="s">
        <v>1527</v>
      </c>
      <c r="B343" s="229" t="s">
        <v>1579</v>
      </c>
      <c r="C343" s="95" t="s">
        <v>1580</v>
      </c>
      <c r="D343" s="95" t="s">
        <v>26</v>
      </c>
      <c r="E343" s="95" t="s">
        <v>413</v>
      </c>
      <c r="F343" s="95" t="s">
        <v>406</v>
      </c>
      <c r="G343" s="101">
        <v>45951</v>
      </c>
      <c r="H343" s="95" t="s">
        <v>43</v>
      </c>
      <c r="I343" s="97">
        <v>180</v>
      </c>
      <c r="J343" s="97">
        <v>40</v>
      </c>
      <c r="K343" s="97">
        <v>20</v>
      </c>
      <c r="L343" s="97">
        <v>60</v>
      </c>
      <c r="M343" s="97">
        <v>100</v>
      </c>
      <c r="N343" s="145">
        <f t="shared" si="16"/>
        <v>400</v>
      </c>
      <c r="O343" s="98"/>
      <c r="P343" s="95" t="s">
        <v>520</v>
      </c>
      <c r="Q343" s="101">
        <v>45954</v>
      </c>
      <c r="R343" s="1"/>
    </row>
    <row r="344" spans="1:18" s="43" customFormat="1" ht="15.75" customHeight="1" x14ac:dyDescent="0.2">
      <c r="A344" s="245" t="s">
        <v>1555</v>
      </c>
      <c r="B344" s="229" t="s">
        <v>1582</v>
      </c>
      <c r="C344" s="95" t="s">
        <v>1581</v>
      </c>
      <c r="D344" s="95" t="s">
        <v>26</v>
      </c>
      <c r="E344" s="95" t="s">
        <v>1079</v>
      </c>
      <c r="F344" s="95" t="s">
        <v>406</v>
      </c>
      <c r="G344" s="101">
        <v>45953</v>
      </c>
      <c r="H344" s="95" t="s">
        <v>43</v>
      </c>
      <c r="I344" s="97">
        <v>200</v>
      </c>
      <c r="J344" s="97">
        <v>40</v>
      </c>
      <c r="K344" s="97"/>
      <c r="L344" s="97">
        <v>50</v>
      </c>
      <c r="M344" s="97">
        <v>110</v>
      </c>
      <c r="N344" s="145">
        <f t="shared" si="16"/>
        <v>400</v>
      </c>
      <c r="O344" s="98"/>
      <c r="P344" s="95" t="s">
        <v>417</v>
      </c>
      <c r="Q344" s="101">
        <v>45954</v>
      </c>
      <c r="R344" s="42"/>
    </row>
    <row r="345" spans="1:18" ht="15.75" customHeight="1" x14ac:dyDescent="0.2">
      <c r="A345" s="245" t="s">
        <v>1583</v>
      </c>
      <c r="B345" s="229" t="s">
        <v>1584</v>
      </c>
      <c r="C345" s="95" t="s">
        <v>1585</v>
      </c>
      <c r="D345" s="95" t="s">
        <v>26</v>
      </c>
      <c r="E345" s="95" t="s">
        <v>661</v>
      </c>
      <c r="F345" s="95" t="s">
        <v>406</v>
      </c>
      <c r="G345" s="101">
        <v>45953</v>
      </c>
      <c r="H345" s="95" t="s">
        <v>43</v>
      </c>
      <c r="I345" s="97">
        <v>250</v>
      </c>
      <c r="J345" s="97"/>
      <c r="K345" s="97"/>
      <c r="L345" s="97">
        <v>50</v>
      </c>
      <c r="M345" s="97"/>
      <c r="N345" s="145">
        <f t="shared" si="16"/>
        <v>300</v>
      </c>
      <c r="O345" s="98"/>
      <c r="P345" s="270" t="s">
        <v>425</v>
      </c>
      <c r="Q345" s="101">
        <v>45954</v>
      </c>
      <c r="R345" s="1"/>
    </row>
    <row r="346" spans="1:18" ht="15.75" customHeight="1" x14ac:dyDescent="0.2">
      <c r="A346" s="245" t="s">
        <v>1408</v>
      </c>
      <c r="B346" s="229" t="s">
        <v>1586</v>
      </c>
      <c r="C346" s="95" t="s">
        <v>1587</v>
      </c>
      <c r="D346" s="95" t="s">
        <v>26</v>
      </c>
      <c r="E346" s="95" t="s">
        <v>436</v>
      </c>
      <c r="F346" s="95" t="s">
        <v>406</v>
      </c>
      <c r="G346" s="101">
        <v>45952</v>
      </c>
      <c r="H346" s="95" t="s">
        <v>43</v>
      </c>
      <c r="I346" s="97"/>
      <c r="J346" s="97">
        <v>43</v>
      </c>
      <c r="K346" s="97"/>
      <c r="L346" s="97">
        <v>15</v>
      </c>
      <c r="M346" s="97">
        <v>90</v>
      </c>
      <c r="N346" s="145">
        <f t="shared" si="16"/>
        <v>148</v>
      </c>
      <c r="O346" s="98"/>
      <c r="P346" s="95" t="s">
        <v>520</v>
      </c>
      <c r="Q346" s="101">
        <v>45953</v>
      </c>
      <c r="R346" s="1"/>
    </row>
    <row r="347" spans="1:18" s="43" customFormat="1" ht="41.25" customHeight="1" x14ac:dyDescent="0.2">
      <c r="A347" s="246" t="s">
        <v>1590</v>
      </c>
      <c r="B347" s="229" t="s">
        <v>1589</v>
      </c>
      <c r="C347" s="95" t="s">
        <v>1591</v>
      </c>
      <c r="D347" s="95" t="s">
        <v>26</v>
      </c>
      <c r="E347" s="95" t="s">
        <v>1592</v>
      </c>
      <c r="F347" s="95" t="s">
        <v>406</v>
      </c>
      <c r="G347" s="101">
        <v>45954</v>
      </c>
      <c r="H347" s="95" t="s">
        <v>43</v>
      </c>
      <c r="I347" s="97"/>
      <c r="J347" s="97">
        <v>80</v>
      </c>
      <c r="K347" s="97"/>
      <c r="L347" s="97">
        <v>120</v>
      </c>
      <c r="M347" s="97">
        <v>150</v>
      </c>
      <c r="N347" s="145">
        <f t="shared" si="16"/>
        <v>350</v>
      </c>
      <c r="O347" s="98"/>
      <c r="P347" s="95" t="s">
        <v>466</v>
      </c>
      <c r="Q347" s="101">
        <v>45958</v>
      </c>
      <c r="R347" s="42"/>
    </row>
    <row r="348" spans="1:18" s="43" customFormat="1" ht="41.25" customHeight="1" x14ac:dyDescent="0.2">
      <c r="A348" s="246" t="s">
        <v>1598</v>
      </c>
      <c r="B348" s="229" t="s">
        <v>1593</v>
      </c>
      <c r="C348" s="99" t="s">
        <v>1594</v>
      </c>
      <c r="D348" s="95" t="s">
        <v>1595</v>
      </c>
      <c r="E348" s="95" t="s">
        <v>1596</v>
      </c>
      <c r="F348" s="95" t="s">
        <v>406</v>
      </c>
      <c r="G348" s="146" t="s">
        <v>1597</v>
      </c>
      <c r="H348" s="95" t="s">
        <v>43</v>
      </c>
      <c r="I348" s="97">
        <v>120</v>
      </c>
      <c r="J348" s="97"/>
      <c r="K348" s="97">
        <v>700</v>
      </c>
      <c r="L348" s="97">
        <v>400</v>
      </c>
      <c r="M348" s="97"/>
      <c r="N348" s="145">
        <f t="shared" si="16"/>
        <v>1220</v>
      </c>
      <c r="O348" s="98"/>
      <c r="P348" s="95" t="s">
        <v>520</v>
      </c>
      <c r="Q348" s="101">
        <v>45957</v>
      </c>
      <c r="R348" s="42"/>
    </row>
    <row r="349" spans="1:18" s="272" customFormat="1" ht="15.75" customHeight="1" x14ac:dyDescent="0.2">
      <c r="A349" s="246" t="s">
        <v>1124</v>
      </c>
      <c r="B349" s="229" t="s">
        <v>1600</v>
      </c>
      <c r="C349" s="99" t="s">
        <v>1599</v>
      </c>
      <c r="D349" s="95" t="s">
        <v>26</v>
      </c>
      <c r="E349" s="273" t="s">
        <v>1077</v>
      </c>
      <c r="F349" s="95" t="s">
        <v>406</v>
      </c>
      <c r="G349" s="101">
        <v>45957</v>
      </c>
      <c r="H349" s="95" t="s">
        <v>43</v>
      </c>
      <c r="I349" s="97"/>
      <c r="J349" s="97">
        <v>70</v>
      </c>
      <c r="K349" s="97"/>
      <c r="L349" s="97"/>
      <c r="M349" s="97"/>
      <c r="N349" s="145">
        <f t="shared" si="16"/>
        <v>70</v>
      </c>
      <c r="O349" s="98"/>
      <c r="P349" s="95" t="s">
        <v>429</v>
      </c>
      <c r="Q349" s="101">
        <v>45964</v>
      </c>
      <c r="R349" s="42"/>
    </row>
    <row r="350" spans="1:18" s="43" customFormat="1" ht="32.25" customHeight="1" x14ac:dyDescent="0.2">
      <c r="A350" s="246" t="s">
        <v>1612</v>
      </c>
      <c r="B350" s="229" t="s">
        <v>1601</v>
      </c>
      <c r="C350" s="99" t="s">
        <v>1611</v>
      </c>
      <c r="D350" s="95" t="s">
        <v>33</v>
      </c>
      <c r="E350" s="95" t="s">
        <v>436</v>
      </c>
      <c r="F350" s="95" t="s">
        <v>406</v>
      </c>
      <c r="G350" s="101">
        <v>45957</v>
      </c>
      <c r="H350" s="95" t="s">
        <v>43</v>
      </c>
      <c r="I350" s="97"/>
      <c r="J350" s="97">
        <v>60.5</v>
      </c>
      <c r="K350" s="97"/>
      <c r="L350" s="97">
        <v>15</v>
      </c>
      <c r="M350" s="97">
        <v>90</v>
      </c>
      <c r="N350" s="145">
        <f t="shared" si="16"/>
        <v>165.5</v>
      </c>
      <c r="O350" s="98"/>
      <c r="P350" s="95" t="s">
        <v>520</v>
      </c>
      <c r="Q350" s="101">
        <v>45964</v>
      </c>
      <c r="R350" s="42"/>
    </row>
    <row r="351" spans="1:18" s="43" customFormat="1" ht="15.75" customHeight="1" x14ac:dyDescent="0.2">
      <c r="A351" s="245" t="s">
        <v>1603</v>
      </c>
      <c r="B351" s="229" t="s">
        <v>1604</v>
      </c>
      <c r="C351" s="95" t="s">
        <v>1602</v>
      </c>
      <c r="D351" s="95" t="s">
        <v>33</v>
      </c>
      <c r="E351" s="95" t="s">
        <v>436</v>
      </c>
      <c r="F351" s="95" t="s">
        <v>406</v>
      </c>
      <c r="G351" s="101">
        <v>45957</v>
      </c>
      <c r="H351" s="95" t="s">
        <v>43</v>
      </c>
      <c r="I351" s="97"/>
      <c r="J351" s="97">
        <v>53</v>
      </c>
      <c r="K351" s="97"/>
      <c r="L351" s="97"/>
      <c r="M351" s="97">
        <v>7.5</v>
      </c>
      <c r="N351" s="145">
        <f t="shared" si="16"/>
        <v>60.5</v>
      </c>
      <c r="O351" s="98"/>
      <c r="P351" s="95" t="s">
        <v>489</v>
      </c>
      <c r="Q351" s="101">
        <v>45964</v>
      </c>
      <c r="R351" s="42"/>
    </row>
    <row r="352" spans="1:18" s="43" customFormat="1" ht="26.25" customHeight="1" x14ac:dyDescent="0.2">
      <c r="A352" s="246" t="s">
        <v>1274</v>
      </c>
      <c r="B352" s="229" t="s">
        <v>1605</v>
      </c>
      <c r="C352" s="95" t="s">
        <v>1599</v>
      </c>
      <c r="D352" s="95" t="s">
        <v>26</v>
      </c>
      <c r="E352" s="95" t="s">
        <v>1609</v>
      </c>
      <c r="F352" s="101" t="s">
        <v>406</v>
      </c>
      <c r="G352" s="101">
        <v>45951</v>
      </c>
      <c r="H352" s="95" t="s">
        <v>43</v>
      </c>
      <c r="I352" s="97"/>
      <c r="J352" s="97">
        <v>92.5</v>
      </c>
      <c r="K352" s="97"/>
      <c r="L352" s="97">
        <v>10</v>
      </c>
      <c r="M352" s="97"/>
      <c r="N352" s="145">
        <f t="shared" si="16"/>
        <v>102.5</v>
      </c>
      <c r="O352" s="98"/>
      <c r="P352" s="95" t="s">
        <v>429</v>
      </c>
      <c r="Q352" s="101">
        <v>45964</v>
      </c>
      <c r="R352" s="42"/>
    </row>
    <row r="353" spans="1:18" s="43" customFormat="1" ht="36.75" customHeight="1" x14ac:dyDescent="0.2">
      <c r="A353" s="246" t="s">
        <v>737</v>
      </c>
      <c r="B353" s="229" t="s">
        <v>1606</v>
      </c>
      <c r="C353" s="95" t="s">
        <v>1613</v>
      </c>
      <c r="D353" s="95" t="s">
        <v>26</v>
      </c>
      <c r="E353" s="273" t="s">
        <v>661</v>
      </c>
      <c r="F353" s="101" t="s">
        <v>406</v>
      </c>
      <c r="G353" s="95"/>
      <c r="H353" s="95" t="s">
        <v>43</v>
      </c>
      <c r="I353" s="97"/>
      <c r="J353" s="97">
        <v>100</v>
      </c>
      <c r="K353" s="97">
        <v>40</v>
      </c>
      <c r="L353" s="97">
        <v>60</v>
      </c>
      <c r="M353" s="97"/>
      <c r="N353" s="145">
        <f t="shared" si="16"/>
        <v>200</v>
      </c>
      <c r="O353" s="98"/>
      <c r="P353" s="95" t="s">
        <v>520</v>
      </c>
      <c r="Q353" s="101">
        <v>45964</v>
      </c>
      <c r="R353" s="42"/>
    </row>
    <row r="354" spans="1:18" s="43" customFormat="1" ht="15.75" customHeight="1" x14ac:dyDescent="0.2">
      <c r="A354" s="245" t="s">
        <v>1608</v>
      </c>
      <c r="B354" s="229" t="s">
        <v>1607</v>
      </c>
      <c r="C354" s="95" t="s">
        <v>1610</v>
      </c>
      <c r="D354" s="95" t="s">
        <v>33</v>
      </c>
      <c r="E354" s="95" t="s">
        <v>436</v>
      </c>
      <c r="F354" s="95" t="s">
        <v>406</v>
      </c>
      <c r="G354" s="101">
        <v>45951</v>
      </c>
      <c r="H354" s="95" t="s">
        <v>43</v>
      </c>
      <c r="I354" s="97"/>
      <c r="J354" s="97">
        <v>15</v>
      </c>
      <c r="K354" s="97"/>
      <c r="L354" s="97">
        <v>15</v>
      </c>
      <c r="M354" s="97">
        <v>90</v>
      </c>
      <c r="N354" s="145">
        <f t="shared" si="16"/>
        <v>120</v>
      </c>
      <c r="O354" s="98"/>
      <c r="P354" s="95" t="s">
        <v>520</v>
      </c>
      <c r="Q354" s="101">
        <v>45965</v>
      </c>
      <c r="R354" s="42"/>
    </row>
    <row r="355" spans="1:18" s="43" customFormat="1" ht="15.75" customHeight="1" x14ac:dyDescent="0.2">
      <c r="A355" s="245" t="s">
        <v>737</v>
      </c>
      <c r="B355" s="229" t="s">
        <v>1617</v>
      </c>
      <c r="C355" s="95" t="s">
        <v>1616</v>
      </c>
      <c r="D355" s="95" t="s">
        <v>26</v>
      </c>
      <c r="E355" s="95" t="s">
        <v>661</v>
      </c>
      <c r="F355" s="95" t="s">
        <v>406</v>
      </c>
      <c r="G355" s="101"/>
      <c r="H355" s="95" t="s">
        <v>44</v>
      </c>
      <c r="I355" s="97">
        <v>200</v>
      </c>
      <c r="J355" s="97">
        <v>50</v>
      </c>
      <c r="K355" s="97"/>
      <c r="L355" s="97">
        <v>50</v>
      </c>
      <c r="M355" s="97"/>
      <c r="N355" s="145">
        <v>300</v>
      </c>
      <c r="O355" s="98"/>
      <c r="P355" s="95" t="s">
        <v>1190</v>
      </c>
      <c r="Q355" s="101">
        <v>45968</v>
      </c>
      <c r="R355" s="42"/>
    </row>
    <row r="356" spans="1:18" s="43" customFormat="1" ht="15.75" customHeight="1" x14ac:dyDescent="0.2">
      <c r="A356" s="245" t="s">
        <v>1527</v>
      </c>
      <c r="B356" s="229" t="s">
        <v>1618</v>
      </c>
      <c r="C356" s="95" t="s">
        <v>1580</v>
      </c>
      <c r="D356" s="95" t="s">
        <v>26</v>
      </c>
      <c r="E356" s="95" t="s">
        <v>413</v>
      </c>
      <c r="F356" s="95" t="s">
        <v>461</v>
      </c>
      <c r="G356" s="101"/>
      <c r="H356" s="95" t="s">
        <v>44</v>
      </c>
      <c r="I356" s="97"/>
      <c r="J356" s="97">
        <v>65</v>
      </c>
      <c r="K356" s="97"/>
      <c r="L356" s="97">
        <v>45</v>
      </c>
      <c r="M356" s="97"/>
      <c r="N356" s="145">
        <f t="shared" ref="N356:N391" si="17">SUM(I356:M356)</f>
        <v>110</v>
      </c>
      <c r="O356" s="98"/>
      <c r="P356" s="95" t="s">
        <v>520</v>
      </c>
      <c r="Q356" s="101">
        <v>45968</v>
      </c>
      <c r="R356" s="42"/>
    </row>
    <row r="357" spans="1:18" s="43" customFormat="1" ht="26.25" customHeight="1" x14ac:dyDescent="0.2">
      <c r="A357" s="246" t="s">
        <v>1451</v>
      </c>
      <c r="B357" s="229" t="s">
        <v>1620</v>
      </c>
      <c r="C357" s="95" t="s">
        <v>1619</v>
      </c>
      <c r="D357" s="95" t="s">
        <v>26</v>
      </c>
      <c r="E357" s="95" t="s">
        <v>661</v>
      </c>
      <c r="F357" s="95" t="s">
        <v>406</v>
      </c>
      <c r="G357" s="95"/>
      <c r="H357" s="95" t="s">
        <v>44</v>
      </c>
      <c r="I357" s="97">
        <v>200</v>
      </c>
      <c r="J357" s="97">
        <v>35</v>
      </c>
      <c r="K357" s="97"/>
      <c r="L357" s="97">
        <v>15</v>
      </c>
      <c r="M357" s="97"/>
      <c r="N357" s="145">
        <f t="shared" si="17"/>
        <v>250</v>
      </c>
      <c r="O357" s="98"/>
      <c r="P357" s="95" t="s">
        <v>520</v>
      </c>
      <c r="Q357" s="101">
        <v>45971</v>
      </c>
      <c r="R357" s="42"/>
    </row>
    <row r="358" spans="1:18" s="43" customFormat="1" ht="15.75" customHeight="1" x14ac:dyDescent="0.2">
      <c r="A358" s="245" t="s">
        <v>1296</v>
      </c>
      <c r="B358" s="229" t="s">
        <v>1621</v>
      </c>
      <c r="C358" s="95" t="s">
        <v>1622</v>
      </c>
      <c r="D358" s="95" t="s">
        <v>26</v>
      </c>
      <c r="E358" s="95" t="s">
        <v>1623</v>
      </c>
      <c r="F358" s="95" t="s">
        <v>1629</v>
      </c>
      <c r="G358" s="95"/>
      <c r="H358" s="95" t="s">
        <v>44</v>
      </c>
      <c r="I358" s="97"/>
      <c r="J358" s="97">
        <v>90</v>
      </c>
      <c r="K358" s="97"/>
      <c r="L358" s="97">
        <v>75</v>
      </c>
      <c r="M358" s="97"/>
      <c r="N358" s="145">
        <f t="shared" si="17"/>
        <v>165</v>
      </c>
      <c r="O358" s="98"/>
      <c r="P358" s="95" t="s">
        <v>520</v>
      </c>
      <c r="Q358" s="101">
        <v>45972</v>
      </c>
      <c r="R358" s="42"/>
    </row>
    <row r="359" spans="1:18" s="43" customFormat="1" ht="15.75" customHeight="1" x14ac:dyDescent="0.2">
      <c r="A359" s="245" t="s">
        <v>1624</v>
      </c>
      <c r="B359" s="229" t="s">
        <v>1625</v>
      </c>
      <c r="C359" s="95" t="s">
        <v>1627</v>
      </c>
      <c r="D359" s="95" t="s">
        <v>26</v>
      </c>
      <c r="E359" s="95" t="s">
        <v>687</v>
      </c>
      <c r="F359" s="95" t="s">
        <v>406</v>
      </c>
      <c r="G359" s="95"/>
      <c r="H359" s="95" t="s">
        <v>44</v>
      </c>
      <c r="I359" s="97">
        <v>150</v>
      </c>
      <c r="J359" s="97">
        <v>50</v>
      </c>
      <c r="K359" s="97"/>
      <c r="L359" s="97">
        <v>50</v>
      </c>
      <c r="M359" s="97"/>
      <c r="N359" s="145">
        <f t="shared" si="17"/>
        <v>250</v>
      </c>
      <c r="O359" s="98"/>
      <c r="P359" s="95" t="s">
        <v>425</v>
      </c>
      <c r="Q359" s="101">
        <v>45972</v>
      </c>
      <c r="R359" s="42"/>
    </row>
    <row r="360" spans="1:18" s="43" customFormat="1" ht="29.25" customHeight="1" x14ac:dyDescent="0.2">
      <c r="A360" s="245" t="s">
        <v>1624</v>
      </c>
      <c r="B360" s="229" t="s">
        <v>1626</v>
      </c>
      <c r="C360" s="99" t="s">
        <v>1630</v>
      </c>
      <c r="D360" s="95" t="s">
        <v>26</v>
      </c>
      <c r="E360" s="95" t="s">
        <v>687</v>
      </c>
      <c r="F360" s="95" t="s">
        <v>406</v>
      </c>
      <c r="G360" s="101">
        <v>45967</v>
      </c>
      <c r="H360" s="95" t="s">
        <v>44</v>
      </c>
      <c r="I360" s="97"/>
      <c r="J360" s="97">
        <v>180</v>
      </c>
      <c r="K360" s="97"/>
      <c r="L360" s="97">
        <v>30</v>
      </c>
      <c r="M360" s="97"/>
      <c r="N360" s="145">
        <f t="shared" si="17"/>
        <v>210</v>
      </c>
      <c r="O360" s="98"/>
      <c r="P360" s="95" t="s">
        <v>425</v>
      </c>
      <c r="Q360" s="101">
        <v>45972</v>
      </c>
      <c r="R360" s="42"/>
    </row>
    <row r="361" spans="1:18" s="43" customFormat="1" ht="31.5" customHeight="1" x14ac:dyDescent="0.2">
      <c r="A361" s="245" t="s">
        <v>1631</v>
      </c>
      <c r="B361" s="229" t="s">
        <v>1628</v>
      </c>
      <c r="C361" s="99" t="s">
        <v>1632</v>
      </c>
      <c r="D361" s="95" t="s">
        <v>26</v>
      </c>
      <c r="E361" s="95" t="s">
        <v>445</v>
      </c>
      <c r="F361" s="95" t="s">
        <v>406</v>
      </c>
      <c r="G361" s="101">
        <v>45973</v>
      </c>
      <c r="H361" s="95" t="s">
        <v>44</v>
      </c>
      <c r="I361" s="97"/>
      <c r="J361" s="97">
        <v>55</v>
      </c>
      <c r="K361" s="97">
        <v>50</v>
      </c>
      <c r="L361" s="97">
        <v>45</v>
      </c>
      <c r="M361" s="97"/>
      <c r="N361" s="145">
        <f t="shared" si="17"/>
        <v>150</v>
      </c>
      <c r="O361" s="98"/>
      <c r="P361" s="95" t="s">
        <v>466</v>
      </c>
      <c r="Q361" s="101">
        <v>45972</v>
      </c>
      <c r="R361" s="42"/>
    </row>
    <row r="362" spans="1:18" s="43" customFormat="1" ht="27.75" customHeight="1" x14ac:dyDescent="0.2">
      <c r="A362" s="245" t="s">
        <v>1637</v>
      </c>
      <c r="B362" s="229" t="s">
        <v>1635</v>
      </c>
      <c r="C362" s="95" t="s">
        <v>1638</v>
      </c>
      <c r="D362" s="95" t="s">
        <v>26</v>
      </c>
      <c r="E362" s="95" t="s">
        <v>661</v>
      </c>
      <c r="F362" s="95" t="s">
        <v>406</v>
      </c>
      <c r="G362" s="101">
        <v>45974</v>
      </c>
      <c r="H362" s="95" t="s">
        <v>44</v>
      </c>
      <c r="I362" s="97"/>
      <c r="J362" s="97">
        <v>20</v>
      </c>
      <c r="K362" s="97"/>
      <c r="L362" s="97">
        <v>40</v>
      </c>
      <c r="M362" s="97">
        <v>60</v>
      </c>
      <c r="N362" s="145">
        <f t="shared" si="17"/>
        <v>120</v>
      </c>
      <c r="O362" s="275"/>
      <c r="P362" s="95" t="s">
        <v>520</v>
      </c>
      <c r="Q362" s="101">
        <v>45978</v>
      </c>
      <c r="R362" s="42"/>
    </row>
    <row r="363" spans="1:18" s="43" customFormat="1" ht="15.75" customHeight="1" x14ac:dyDescent="0.2">
      <c r="A363" s="245" t="s">
        <v>1639</v>
      </c>
      <c r="B363" s="229" t="s">
        <v>1636</v>
      </c>
      <c r="C363" s="95" t="s">
        <v>1634</v>
      </c>
      <c r="D363" s="95" t="s">
        <v>26</v>
      </c>
      <c r="E363" s="95" t="s">
        <v>744</v>
      </c>
      <c r="F363" s="95" t="s">
        <v>406</v>
      </c>
      <c r="G363" s="101">
        <v>45974</v>
      </c>
      <c r="H363" s="95" t="s">
        <v>44</v>
      </c>
      <c r="I363" s="97"/>
      <c r="J363" s="97">
        <v>100</v>
      </c>
      <c r="K363" s="97"/>
      <c r="L363" s="97">
        <v>100</v>
      </c>
      <c r="M363" s="97">
        <v>250</v>
      </c>
      <c r="N363" s="145">
        <f t="shared" si="17"/>
        <v>450</v>
      </c>
      <c r="O363" s="266"/>
      <c r="P363" s="95" t="s">
        <v>417</v>
      </c>
      <c r="Q363" s="101">
        <v>45978</v>
      </c>
      <c r="R363" s="42"/>
    </row>
    <row r="364" spans="1:18" s="43" customFormat="1" ht="15.75" customHeight="1" x14ac:dyDescent="0.2">
      <c r="A364" s="245" t="s">
        <v>1458</v>
      </c>
      <c r="B364" s="229" t="s">
        <v>1643</v>
      </c>
      <c r="C364" s="95" t="s">
        <v>1641</v>
      </c>
      <c r="D364" s="95" t="s">
        <v>26</v>
      </c>
      <c r="E364" s="95" t="s">
        <v>661</v>
      </c>
      <c r="F364" s="95" t="s">
        <v>406</v>
      </c>
      <c r="G364" s="101">
        <v>45973</v>
      </c>
      <c r="H364" s="95" t="s">
        <v>44</v>
      </c>
      <c r="I364" s="97"/>
      <c r="J364" s="97">
        <v>20</v>
      </c>
      <c r="K364" s="97"/>
      <c r="L364" s="97">
        <v>40</v>
      </c>
      <c r="M364" s="97">
        <v>60</v>
      </c>
      <c r="N364" s="145">
        <f t="shared" si="17"/>
        <v>120</v>
      </c>
      <c r="O364" s="275"/>
      <c r="P364" s="95" t="s">
        <v>520</v>
      </c>
      <c r="Q364" s="101">
        <v>45981</v>
      </c>
      <c r="R364" s="42"/>
    </row>
    <row r="365" spans="1:18" s="43" customFormat="1" ht="15.75" customHeight="1" x14ac:dyDescent="0.2">
      <c r="A365" s="245" t="s">
        <v>1480</v>
      </c>
      <c r="B365" s="229" t="s">
        <v>1644</v>
      </c>
      <c r="C365" s="95" t="s">
        <v>1642</v>
      </c>
      <c r="D365" s="95" t="s">
        <v>26</v>
      </c>
      <c r="E365" s="95" t="s">
        <v>661</v>
      </c>
      <c r="F365" s="95" t="s">
        <v>406</v>
      </c>
      <c r="G365" s="101">
        <v>45975</v>
      </c>
      <c r="H365" s="95" t="s">
        <v>44</v>
      </c>
      <c r="I365" s="97"/>
      <c r="J365" s="97">
        <v>20</v>
      </c>
      <c r="K365" s="97"/>
      <c r="L365" s="97">
        <v>40</v>
      </c>
      <c r="M365" s="97">
        <v>60</v>
      </c>
      <c r="N365" s="145">
        <f t="shared" si="17"/>
        <v>120</v>
      </c>
      <c r="O365" s="275"/>
      <c r="P365" s="95" t="s">
        <v>520</v>
      </c>
      <c r="Q365" s="101">
        <v>45981</v>
      </c>
      <c r="R365" s="42"/>
    </row>
    <row r="366" spans="1:18" s="43" customFormat="1" ht="15.75" customHeight="1" x14ac:dyDescent="0.2">
      <c r="A366" s="245" t="s">
        <v>1645</v>
      </c>
      <c r="B366" s="229" t="s">
        <v>1647</v>
      </c>
      <c r="C366" s="95" t="s">
        <v>1646</v>
      </c>
      <c r="D366" s="95" t="s">
        <v>33</v>
      </c>
      <c r="E366" s="95" t="s">
        <v>1648</v>
      </c>
      <c r="F366" s="95" t="s">
        <v>406</v>
      </c>
      <c r="G366" s="101">
        <v>45982</v>
      </c>
      <c r="H366" s="95" t="s">
        <v>44</v>
      </c>
      <c r="I366" s="97"/>
      <c r="J366" s="97">
        <v>20</v>
      </c>
      <c r="K366" s="97"/>
      <c r="L366" s="97">
        <v>30</v>
      </c>
      <c r="M366" s="97">
        <v>50</v>
      </c>
      <c r="N366" s="145">
        <f t="shared" si="17"/>
        <v>100</v>
      </c>
      <c r="O366" s="275"/>
      <c r="P366" s="95" t="s">
        <v>520</v>
      </c>
      <c r="Q366" s="101">
        <v>45986</v>
      </c>
      <c r="R366" s="42"/>
    </row>
    <row r="367" spans="1:18" s="43" customFormat="1" ht="15.75" customHeight="1" x14ac:dyDescent="0.2">
      <c r="A367" s="245" t="s">
        <v>1182</v>
      </c>
      <c r="B367" s="229" t="s">
        <v>1649</v>
      </c>
      <c r="C367" s="95" t="s">
        <v>1651</v>
      </c>
      <c r="D367" s="95" t="s">
        <v>26</v>
      </c>
      <c r="E367" s="95" t="s">
        <v>661</v>
      </c>
      <c r="F367" s="95" t="s">
        <v>406</v>
      </c>
      <c r="G367" s="101">
        <v>45988</v>
      </c>
      <c r="H367" s="95" t="s">
        <v>44</v>
      </c>
      <c r="I367" s="97">
        <v>200</v>
      </c>
      <c r="J367" s="97"/>
      <c r="K367" s="97"/>
      <c r="L367" s="97"/>
      <c r="M367" s="97"/>
      <c r="N367" s="145">
        <f t="shared" si="17"/>
        <v>200</v>
      </c>
      <c r="O367" s="266"/>
      <c r="P367" s="95" t="s">
        <v>520</v>
      </c>
      <c r="Q367" s="101">
        <v>45986</v>
      </c>
      <c r="R367" s="42"/>
    </row>
    <row r="368" spans="1:18" s="43" customFormat="1" ht="15.75" customHeight="1" x14ac:dyDescent="0.2">
      <c r="A368" s="245" t="s">
        <v>1182</v>
      </c>
      <c r="B368" s="229" t="s">
        <v>1650</v>
      </c>
      <c r="C368" s="95" t="s">
        <v>1652</v>
      </c>
      <c r="D368" s="95" t="s">
        <v>26</v>
      </c>
      <c r="E368" s="95" t="s">
        <v>661</v>
      </c>
      <c r="F368" s="95" t="s">
        <v>406</v>
      </c>
      <c r="G368" s="101">
        <v>45989</v>
      </c>
      <c r="H368" s="95" t="s">
        <v>44</v>
      </c>
      <c r="I368" s="97">
        <v>200</v>
      </c>
      <c r="J368" s="97"/>
      <c r="K368" s="97"/>
      <c r="L368" s="97"/>
      <c r="M368" s="97"/>
      <c r="N368" s="145">
        <f t="shared" si="17"/>
        <v>200</v>
      </c>
      <c r="O368" s="266"/>
      <c r="P368" s="95" t="s">
        <v>520</v>
      </c>
      <c r="Q368" s="101">
        <v>45986</v>
      </c>
      <c r="R368" s="42"/>
    </row>
    <row r="369" spans="1:18" ht="27.75" customHeight="1" x14ac:dyDescent="0.2">
      <c r="A369" s="246" t="s">
        <v>1653</v>
      </c>
      <c r="B369" s="229" t="s">
        <v>1654</v>
      </c>
      <c r="C369" s="95" t="s">
        <v>1655</v>
      </c>
      <c r="D369" s="95" t="s">
        <v>26</v>
      </c>
      <c r="E369" s="95" t="s">
        <v>491</v>
      </c>
      <c r="F369" s="95" t="s">
        <v>406</v>
      </c>
      <c r="G369" s="101">
        <v>45985</v>
      </c>
      <c r="H369" s="95" t="s">
        <v>44</v>
      </c>
      <c r="I369" s="97"/>
      <c r="J369" s="97">
        <v>103</v>
      </c>
      <c r="K369" s="97"/>
      <c r="L369" s="97">
        <v>37</v>
      </c>
      <c r="M369" s="97"/>
      <c r="N369" s="145">
        <f t="shared" si="17"/>
        <v>140</v>
      </c>
      <c r="O369" s="7"/>
      <c r="P369" s="95" t="s">
        <v>489</v>
      </c>
      <c r="Q369" s="101">
        <v>45989</v>
      </c>
      <c r="R369" s="1"/>
    </row>
    <row r="370" spans="1:18" ht="15.75" customHeight="1" x14ac:dyDescent="0.2">
      <c r="A370" s="245" t="s">
        <v>1657</v>
      </c>
      <c r="B370" s="229" t="s">
        <v>1659</v>
      </c>
      <c r="C370" s="95" t="s">
        <v>1658</v>
      </c>
      <c r="D370" s="95" t="s">
        <v>26</v>
      </c>
      <c r="E370" s="95" t="s">
        <v>1660</v>
      </c>
      <c r="F370" s="95" t="s">
        <v>1661</v>
      </c>
      <c r="G370" s="101">
        <v>45994</v>
      </c>
      <c r="H370" s="95" t="s">
        <v>45</v>
      </c>
      <c r="I370" s="97">
        <v>180</v>
      </c>
      <c r="J370" s="97">
        <v>70</v>
      </c>
      <c r="K370" s="97"/>
      <c r="L370" s="97">
        <v>50</v>
      </c>
      <c r="M370" s="97"/>
      <c r="N370" s="145">
        <f t="shared" si="17"/>
        <v>300</v>
      </c>
      <c r="O370" s="7"/>
      <c r="P370" s="95" t="s">
        <v>520</v>
      </c>
      <c r="Q370" s="101">
        <v>45993</v>
      </c>
      <c r="R370" s="1"/>
    </row>
    <row r="371" spans="1:18" s="43" customFormat="1" ht="15.75" customHeight="1" x14ac:dyDescent="0.2">
      <c r="A371" s="245" t="s">
        <v>1399</v>
      </c>
      <c r="B371" s="229" t="s">
        <v>1662</v>
      </c>
      <c r="C371" s="95" t="s">
        <v>1663</v>
      </c>
      <c r="D371" s="95" t="s">
        <v>39</v>
      </c>
      <c r="E371" s="95" t="s">
        <v>1664</v>
      </c>
      <c r="F371" s="95" t="s">
        <v>406</v>
      </c>
      <c r="G371" s="101">
        <v>45993</v>
      </c>
      <c r="H371" s="95" t="s">
        <v>45</v>
      </c>
      <c r="I371" s="97"/>
      <c r="J371" s="97">
        <v>40</v>
      </c>
      <c r="K371" s="97"/>
      <c r="L371" s="97">
        <v>12</v>
      </c>
      <c r="M371" s="97"/>
      <c r="N371" s="145">
        <f t="shared" si="17"/>
        <v>52</v>
      </c>
      <c r="O371" s="275"/>
      <c r="P371" s="95" t="s">
        <v>489</v>
      </c>
      <c r="Q371" s="101">
        <v>45994</v>
      </c>
      <c r="R371" s="42"/>
    </row>
    <row r="372" spans="1:18" ht="15.75" customHeight="1" x14ac:dyDescent="0.2">
      <c r="A372" s="245" t="s">
        <v>1296</v>
      </c>
      <c r="B372" s="229" t="s">
        <v>1666</v>
      </c>
      <c r="C372" s="95" t="s">
        <v>1667</v>
      </c>
      <c r="D372" s="95" t="s">
        <v>26</v>
      </c>
      <c r="E372" s="95" t="s">
        <v>436</v>
      </c>
      <c r="F372" s="95" t="s">
        <v>406</v>
      </c>
      <c r="G372" s="101">
        <v>45996</v>
      </c>
      <c r="H372" s="95" t="s">
        <v>45</v>
      </c>
      <c r="I372" s="97"/>
      <c r="J372" s="97">
        <v>100</v>
      </c>
      <c r="K372" s="97"/>
      <c r="L372" s="97">
        <v>80</v>
      </c>
      <c r="M372" s="97">
        <v>120</v>
      </c>
      <c r="N372" s="145">
        <f t="shared" si="17"/>
        <v>300</v>
      </c>
      <c r="O372" s="7"/>
      <c r="P372" s="95" t="s">
        <v>520</v>
      </c>
      <c r="Q372" s="101">
        <v>46001</v>
      </c>
      <c r="R372" s="1"/>
    </row>
    <row r="373" spans="1:18" s="43" customFormat="1" ht="15.75" customHeight="1" x14ac:dyDescent="0.2">
      <c r="A373" s="245" t="s">
        <v>1669</v>
      </c>
      <c r="B373" s="229" t="s">
        <v>1668</v>
      </c>
      <c r="C373" s="95" t="s">
        <v>1670</v>
      </c>
      <c r="D373" s="95" t="s">
        <v>26</v>
      </c>
      <c r="E373" s="95" t="s">
        <v>1664</v>
      </c>
      <c r="F373" s="95" t="s">
        <v>406</v>
      </c>
      <c r="G373" s="101">
        <v>45996</v>
      </c>
      <c r="H373" s="95" t="s">
        <v>45</v>
      </c>
      <c r="I373" s="97"/>
      <c r="J373" s="97">
        <v>80</v>
      </c>
      <c r="K373" s="97"/>
      <c r="L373" s="97">
        <v>50</v>
      </c>
      <c r="M373" s="97">
        <v>70</v>
      </c>
      <c r="N373" s="145">
        <f t="shared" si="17"/>
        <v>200</v>
      </c>
      <c r="O373" s="275"/>
      <c r="P373" s="95" t="s">
        <v>520</v>
      </c>
      <c r="Q373" s="101">
        <v>46001</v>
      </c>
      <c r="R373" s="42"/>
    </row>
    <row r="374" spans="1:18" s="43" customFormat="1" ht="15.75" customHeight="1" x14ac:dyDescent="0.2">
      <c r="A374" s="245" t="s">
        <v>1669</v>
      </c>
      <c r="B374" s="229" t="s">
        <v>1672</v>
      </c>
      <c r="C374" s="95" t="s">
        <v>1671</v>
      </c>
      <c r="D374" s="95" t="s">
        <v>26</v>
      </c>
      <c r="E374" s="95" t="s">
        <v>1664</v>
      </c>
      <c r="F374" s="95" t="s">
        <v>406</v>
      </c>
      <c r="G374" s="101">
        <v>45996</v>
      </c>
      <c r="H374" s="95" t="s">
        <v>45</v>
      </c>
      <c r="I374" s="97"/>
      <c r="J374" s="97">
        <v>50</v>
      </c>
      <c r="K374" s="97"/>
      <c r="L374" s="97">
        <v>40</v>
      </c>
      <c r="M374" s="97">
        <v>60</v>
      </c>
      <c r="N374" s="145">
        <f t="shared" si="17"/>
        <v>150</v>
      </c>
      <c r="O374" s="275"/>
      <c r="P374" s="95" t="s">
        <v>520</v>
      </c>
      <c r="Q374" s="101">
        <v>46001</v>
      </c>
      <c r="R374" s="42"/>
    </row>
    <row r="375" spans="1:18" s="43" customFormat="1" ht="15.75" customHeight="1" x14ac:dyDescent="0.2">
      <c r="A375" s="245" t="s">
        <v>1458</v>
      </c>
      <c r="B375" s="229" t="s">
        <v>1673</v>
      </c>
      <c r="C375" s="95" t="s">
        <v>1674</v>
      </c>
      <c r="D375" s="95" t="s">
        <v>26</v>
      </c>
      <c r="E375" s="95" t="s">
        <v>661</v>
      </c>
      <c r="F375" s="95" t="s">
        <v>406</v>
      </c>
      <c r="G375" s="101">
        <v>45998</v>
      </c>
      <c r="H375" s="95" t="s">
        <v>45</v>
      </c>
      <c r="I375" s="97">
        <v>150</v>
      </c>
      <c r="J375" s="97">
        <v>20</v>
      </c>
      <c r="K375" s="97"/>
      <c r="L375" s="97"/>
      <c r="M375" s="97"/>
      <c r="N375" s="145">
        <f t="shared" si="17"/>
        <v>170</v>
      </c>
      <c r="O375" s="275"/>
      <c r="P375" s="95" t="s">
        <v>520</v>
      </c>
      <c r="Q375" s="101">
        <v>46001</v>
      </c>
      <c r="R375" s="42"/>
    </row>
    <row r="376" spans="1:18" ht="29.25" customHeight="1" x14ac:dyDescent="0.2">
      <c r="A376" s="246" t="s">
        <v>1677</v>
      </c>
      <c r="B376" s="229" t="s">
        <v>1676</v>
      </c>
      <c r="C376" s="99" t="s">
        <v>1675</v>
      </c>
      <c r="D376" s="95" t="s">
        <v>26</v>
      </c>
      <c r="E376" s="95" t="s">
        <v>436</v>
      </c>
      <c r="F376" s="95" t="s">
        <v>406</v>
      </c>
      <c r="G376" s="95"/>
      <c r="H376" s="95" t="s">
        <v>45</v>
      </c>
      <c r="I376" s="97"/>
      <c r="J376" s="97">
        <v>170</v>
      </c>
      <c r="K376" s="97"/>
      <c r="L376" s="97">
        <v>13</v>
      </c>
      <c r="M376" s="97"/>
      <c r="N376" s="145">
        <f t="shared" si="17"/>
        <v>183</v>
      </c>
      <c r="O376" s="7"/>
      <c r="P376" s="95" t="s">
        <v>1190</v>
      </c>
      <c r="Q376" s="101">
        <v>46003</v>
      </c>
      <c r="R376" s="1"/>
    </row>
    <row r="377" spans="1:18" ht="15.75" customHeight="1" x14ac:dyDescent="0.2">
      <c r="A377" s="246" t="s">
        <v>1669</v>
      </c>
      <c r="B377" s="229" t="s">
        <v>1678</v>
      </c>
      <c r="C377" s="95" t="s">
        <v>1679</v>
      </c>
      <c r="D377" s="95" t="s">
        <v>26</v>
      </c>
      <c r="E377" s="95" t="s">
        <v>436</v>
      </c>
      <c r="F377" s="95" t="s">
        <v>406</v>
      </c>
      <c r="G377" s="101">
        <v>46002</v>
      </c>
      <c r="H377" s="95" t="s">
        <v>45</v>
      </c>
      <c r="I377" s="97"/>
      <c r="J377" s="97">
        <v>40</v>
      </c>
      <c r="K377" s="97"/>
      <c r="L377" s="97">
        <v>20</v>
      </c>
      <c r="M377" s="97">
        <v>90</v>
      </c>
      <c r="N377" s="145">
        <f t="shared" si="17"/>
        <v>150</v>
      </c>
      <c r="O377" s="7"/>
      <c r="P377" s="95" t="s">
        <v>520</v>
      </c>
      <c r="Q377" s="101">
        <v>46007</v>
      </c>
      <c r="R377" s="1"/>
    </row>
    <row r="378" spans="1:18" ht="15.75" customHeight="1" x14ac:dyDescent="0.2">
      <c r="A378" s="245" t="s">
        <v>697</v>
      </c>
      <c r="B378" s="229" t="s">
        <v>1681</v>
      </c>
      <c r="C378" s="95" t="s">
        <v>1680</v>
      </c>
      <c r="D378" s="95" t="s">
        <v>26</v>
      </c>
      <c r="E378" s="95" t="s">
        <v>413</v>
      </c>
      <c r="F378" s="95" t="s">
        <v>406</v>
      </c>
      <c r="G378" s="95"/>
      <c r="H378" s="95" t="s">
        <v>45</v>
      </c>
      <c r="I378" s="97">
        <v>250</v>
      </c>
      <c r="J378" s="97">
        <v>60</v>
      </c>
      <c r="K378" s="97">
        <v>60</v>
      </c>
      <c r="L378" s="97">
        <v>80</v>
      </c>
      <c r="M378" s="97"/>
      <c r="N378" s="145">
        <f t="shared" si="17"/>
        <v>450</v>
      </c>
      <c r="O378" s="98"/>
      <c r="P378" s="95" t="s">
        <v>520</v>
      </c>
      <c r="Q378" s="101">
        <v>46007</v>
      </c>
      <c r="R378" s="1"/>
    </row>
    <row r="379" spans="1:18" ht="15.75" customHeight="1" x14ac:dyDescent="0.2">
      <c r="A379" s="245" t="s">
        <v>1685</v>
      </c>
      <c r="B379" s="229" t="s">
        <v>1683</v>
      </c>
      <c r="C379" s="95" t="s">
        <v>1684</v>
      </c>
      <c r="D379" s="95" t="s">
        <v>26</v>
      </c>
      <c r="E379" s="95" t="s">
        <v>436</v>
      </c>
      <c r="F379" s="95" t="s">
        <v>406</v>
      </c>
      <c r="G379" s="101">
        <v>46006</v>
      </c>
      <c r="H379" s="95" t="s">
        <v>45</v>
      </c>
      <c r="I379" s="97"/>
      <c r="J379" s="97">
        <v>15</v>
      </c>
      <c r="K379" s="97"/>
      <c r="L379" s="97">
        <v>15</v>
      </c>
      <c r="M379" s="97">
        <v>90</v>
      </c>
      <c r="N379" s="145">
        <f t="shared" si="17"/>
        <v>120</v>
      </c>
      <c r="O379" s="98"/>
      <c r="P379" s="95" t="s">
        <v>520</v>
      </c>
      <c r="Q379" s="101">
        <v>46013</v>
      </c>
      <c r="R379" s="1"/>
    </row>
    <row r="380" spans="1:18" ht="15.75" customHeight="1" x14ac:dyDescent="0.2">
      <c r="A380" s="245" t="s">
        <v>1296</v>
      </c>
      <c r="B380" s="229" t="s">
        <v>1686</v>
      </c>
      <c r="C380" s="95" t="s">
        <v>1667</v>
      </c>
      <c r="D380" s="95" t="s">
        <v>26</v>
      </c>
      <c r="E380" s="95" t="s">
        <v>436</v>
      </c>
      <c r="F380" s="95" t="s">
        <v>461</v>
      </c>
      <c r="G380" s="101">
        <v>46007</v>
      </c>
      <c r="H380" s="95" t="s">
        <v>45</v>
      </c>
      <c r="I380" s="97"/>
      <c r="J380" s="97">
        <v>185</v>
      </c>
      <c r="K380" s="97"/>
      <c r="L380" s="97">
        <v>45</v>
      </c>
      <c r="M380" s="97">
        <v>200</v>
      </c>
      <c r="N380" s="145">
        <f t="shared" si="17"/>
        <v>430</v>
      </c>
      <c r="O380" s="98"/>
      <c r="P380" s="95" t="s">
        <v>520</v>
      </c>
      <c r="Q380" s="101">
        <v>46013</v>
      </c>
      <c r="R380" s="1"/>
    </row>
    <row r="381" spans="1:18" ht="22.5" customHeight="1" x14ac:dyDescent="0.2">
      <c r="A381" s="246" t="s">
        <v>1687</v>
      </c>
      <c r="B381" s="229" t="s">
        <v>1688</v>
      </c>
      <c r="C381" s="95" t="s">
        <v>1689</v>
      </c>
      <c r="D381" s="95" t="s">
        <v>26</v>
      </c>
      <c r="E381" s="95" t="s">
        <v>436</v>
      </c>
      <c r="F381" s="95" t="s">
        <v>406</v>
      </c>
      <c r="G381" s="101">
        <v>46010</v>
      </c>
      <c r="H381" s="95" t="s">
        <v>45</v>
      </c>
      <c r="I381" s="97"/>
      <c r="J381" s="97">
        <v>40</v>
      </c>
      <c r="K381" s="97"/>
      <c r="L381" s="97">
        <v>20</v>
      </c>
      <c r="M381" s="97">
        <v>90</v>
      </c>
      <c r="N381" s="145">
        <f t="shared" si="17"/>
        <v>150</v>
      </c>
      <c r="O381" s="98"/>
      <c r="P381" s="95" t="s">
        <v>520</v>
      </c>
      <c r="Q381" s="101">
        <v>46013</v>
      </c>
      <c r="R381" s="1"/>
    </row>
    <row r="382" spans="1:18" ht="15.75" customHeight="1" x14ac:dyDescent="0.2">
      <c r="A382" s="245" t="s">
        <v>1690</v>
      </c>
      <c r="B382" s="229" t="s">
        <v>1691</v>
      </c>
      <c r="C382" s="95" t="s">
        <v>1692</v>
      </c>
      <c r="D382" s="95" t="s">
        <v>26</v>
      </c>
      <c r="E382" s="95" t="s">
        <v>436</v>
      </c>
      <c r="F382" s="95" t="s">
        <v>406</v>
      </c>
      <c r="G382" s="101">
        <v>46010</v>
      </c>
      <c r="H382" s="95" t="s">
        <v>45</v>
      </c>
      <c r="I382" s="97"/>
      <c r="J382" s="97">
        <v>40</v>
      </c>
      <c r="K382" s="97"/>
      <c r="L382" s="97">
        <v>20</v>
      </c>
      <c r="M382" s="97">
        <v>90</v>
      </c>
      <c r="N382" s="145">
        <f t="shared" si="17"/>
        <v>150</v>
      </c>
      <c r="O382" s="98"/>
      <c r="P382" s="95" t="s">
        <v>520</v>
      </c>
      <c r="Q382" s="101">
        <v>46014</v>
      </c>
      <c r="R382" s="1"/>
    </row>
    <row r="383" spans="1:18" ht="15.75" customHeight="1" x14ac:dyDescent="0.2">
      <c r="A383" s="245" t="s">
        <v>1693</v>
      </c>
      <c r="B383" s="229" t="s">
        <v>1695</v>
      </c>
      <c r="C383" s="95" t="s">
        <v>1694</v>
      </c>
      <c r="D383" s="97" t="s">
        <v>33</v>
      </c>
      <c r="E383" s="95" t="s">
        <v>436</v>
      </c>
      <c r="F383" s="95" t="s">
        <v>406</v>
      </c>
      <c r="G383" s="101">
        <v>46009</v>
      </c>
      <c r="H383" s="95" t="s">
        <v>45</v>
      </c>
      <c r="I383" s="97"/>
      <c r="J383" s="97">
        <v>40</v>
      </c>
      <c r="K383" s="97"/>
      <c r="L383" s="97">
        <v>20</v>
      </c>
      <c r="M383" s="97">
        <v>90</v>
      </c>
      <c r="N383" s="145">
        <f t="shared" si="17"/>
        <v>150</v>
      </c>
      <c r="O383" s="98"/>
      <c r="P383" s="95" t="s">
        <v>520</v>
      </c>
      <c r="Q383" s="101">
        <v>46014</v>
      </c>
      <c r="R383" s="1"/>
    </row>
    <row r="384" spans="1:18" ht="15.75" customHeight="1" x14ac:dyDescent="0.2">
      <c r="A384" s="246" t="s">
        <v>1696</v>
      </c>
      <c r="B384" s="229" t="s">
        <v>1698</v>
      </c>
      <c r="C384" s="95" t="s">
        <v>1697</v>
      </c>
      <c r="D384" s="97" t="s">
        <v>26</v>
      </c>
      <c r="E384" s="95" t="s">
        <v>436</v>
      </c>
      <c r="F384" s="95" t="s">
        <v>406</v>
      </c>
      <c r="G384" s="101">
        <v>46008</v>
      </c>
      <c r="H384" s="95" t="s">
        <v>45</v>
      </c>
      <c r="I384" s="97"/>
      <c r="J384" s="97">
        <v>112</v>
      </c>
      <c r="K384" s="97"/>
      <c r="L384" s="97"/>
      <c r="M384" s="97"/>
      <c r="N384" s="145">
        <f t="shared" si="17"/>
        <v>112</v>
      </c>
      <c r="O384" s="98"/>
      <c r="P384" s="95" t="s">
        <v>1190</v>
      </c>
      <c r="Q384" s="101">
        <v>46014</v>
      </c>
      <c r="R384" s="1"/>
    </row>
    <row r="385" spans="1:18" ht="15.75" customHeight="1" x14ac:dyDescent="0.2">
      <c r="A385" s="245" t="s">
        <v>1700</v>
      </c>
      <c r="B385" s="229" t="s">
        <v>1701</v>
      </c>
      <c r="C385" s="95" t="s">
        <v>1699</v>
      </c>
      <c r="D385" s="97" t="s">
        <v>26</v>
      </c>
      <c r="E385" s="95" t="s">
        <v>436</v>
      </c>
      <c r="F385" s="95" t="s">
        <v>406</v>
      </c>
      <c r="G385" s="101">
        <v>46011</v>
      </c>
      <c r="H385" s="95" t="s">
        <v>45</v>
      </c>
      <c r="I385" s="97"/>
      <c r="J385" s="97">
        <v>115</v>
      </c>
      <c r="K385" s="97"/>
      <c r="L385" s="97"/>
      <c r="M385" s="97"/>
      <c r="N385" s="145">
        <f t="shared" si="17"/>
        <v>115</v>
      </c>
      <c r="O385" s="98"/>
      <c r="P385" s="95" t="s">
        <v>1190</v>
      </c>
      <c r="Q385" s="101">
        <v>46014</v>
      </c>
      <c r="R385" s="1"/>
    </row>
    <row r="386" spans="1:18" ht="15.75" customHeight="1" x14ac:dyDescent="0.2">
      <c r="A386" s="245" t="s">
        <v>1702</v>
      </c>
      <c r="B386" s="229" t="s">
        <v>1704</v>
      </c>
      <c r="C386" s="95" t="s">
        <v>1703</v>
      </c>
      <c r="D386" s="97" t="s">
        <v>26</v>
      </c>
      <c r="E386" s="95" t="s">
        <v>436</v>
      </c>
      <c r="F386" s="95" t="s">
        <v>406</v>
      </c>
      <c r="G386" s="101">
        <v>46010</v>
      </c>
      <c r="H386" s="95" t="s">
        <v>45</v>
      </c>
      <c r="I386" s="97"/>
      <c r="J386" s="97">
        <v>110</v>
      </c>
      <c r="K386" s="97"/>
      <c r="L386" s="97">
        <v>12</v>
      </c>
      <c r="M386" s="97"/>
      <c r="N386" s="145">
        <f t="shared" si="17"/>
        <v>122</v>
      </c>
      <c r="O386" s="98"/>
      <c r="P386" s="95" t="s">
        <v>1190</v>
      </c>
      <c r="Q386" s="101">
        <v>46014</v>
      </c>
      <c r="R386" s="1"/>
    </row>
    <row r="387" spans="1:18" s="43" customFormat="1" ht="15.75" customHeight="1" x14ac:dyDescent="0.2">
      <c r="A387" s="245" t="s">
        <v>1705</v>
      </c>
      <c r="B387" s="229" t="s">
        <v>1707</v>
      </c>
      <c r="C387" s="95" t="s">
        <v>1706</v>
      </c>
      <c r="D387" s="97" t="s">
        <v>26</v>
      </c>
      <c r="E387" s="95" t="s">
        <v>436</v>
      </c>
      <c r="F387" s="95" t="s">
        <v>406</v>
      </c>
      <c r="G387" s="101">
        <v>46010</v>
      </c>
      <c r="H387" s="95" t="s">
        <v>45</v>
      </c>
      <c r="I387" s="97"/>
      <c r="J387" s="97">
        <v>35</v>
      </c>
      <c r="K387" s="97"/>
      <c r="L387" s="97"/>
      <c r="M387" s="97"/>
      <c r="N387" s="145">
        <f t="shared" si="17"/>
        <v>35</v>
      </c>
      <c r="O387" s="266"/>
      <c r="P387" s="95" t="s">
        <v>1190</v>
      </c>
      <c r="Q387" s="101">
        <v>46018</v>
      </c>
      <c r="R387" s="42"/>
    </row>
    <row r="388" spans="1:18" ht="25.5" customHeight="1" x14ac:dyDescent="0.2">
      <c r="A388" s="246" t="s">
        <v>1708</v>
      </c>
      <c r="B388" s="229" t="s">
        <v>1709</v>
      </c>
      <c r="C388" s="95" t="s">
        <v>1717</v>
      </c>
      <c r="D388" s="95" t="s">
        <v>26</v>
      </c>
      <c r="E388" s="95" t="s">
        <v>661</v>
      </c>
      <c r="F388" s="95" t="s">
        <v>406</v>
      </c>
      <c r="G388" s="101">
        <v>46013</v>
      </c>
      <c r="H388" s="95" t="s">
        <v>45</v>
      </c>
      <c r="I388" s="97">
        <v>150</v>
      </c>
      <c r="J388" s="97">
        <v>25</v>
      </c>
      <c r="K388" s="97"/>
      <c r="L388" s="97">
        <v>45</v>
      </c>
      <c r="M388" s="97">
        <v>140</v>
      </c>
      <c r="N388" s="145">
        <f t="shared" si="17"/>
        <v>360</v>
      </c>
      <c r="O388" s="98"/>
      <c r="P388" s="95" t="s">
        <v>520</v>
      </c>
      <c r="Q388" s="101">
        <v>46014</v>
      </c>
      <c r="R388" s="1"/>
    </row>
    <row r="389" spans="1:18" ht="15.75" customHeight="1" x14ac:dyDescent="0.2">
      <c r="A389" s="245" t="s">
        <v>1711</v>
      </c>
      <c r="B389" s="229" t="s">
        <v>1710</v>
      </c>
      <c r="C389" s="95" t="s">
        <v>1712</v>
      </c>
      <c r="D389" s="95" t="s">
        <v>26</v>
      </c>
      <c r="E389" s="95" t="s">
        <v>661</v>
      </c>
      <c r="F389" s="95" t="s">
        <v>406</v>
      </c>
      <c r="G389" s="101">
        <v>46002</v>
      </c>
      <c r="H389" s="95" t="s">
        <v>45</v>
      </c>
      <c r="I389" s="97">
        <v>130</v>
      </c>
      <c r="J389" s="97"/>
      <c r="K389" s="97"/>
      <c r="L389" s="97"/>
      <c r="M389" s="97"/>
      <c r="N389" s="145">
        <f t="shared" si="17"/>
        <v>130</v>
      </c>
      <c r="O389" s="98"/>
      <c r="P389" s="95" t="s">
        <v>520</v>
      </c>
      <c r="Q389" s="101">
        <v>46014</v>
      </c>
      <c r="R389" s="1"/>
    </row>
    <row r="390" spans="1:18" ht="15.75" customHeight="1" x14ac:dyDescent="0.2">
      <c r="A390" s="245" t="s">
        <v>1714</v>
      </c>
      <c r="B390" s="229" t="s">
        <v>1715</v>
      </c>
      <c r="C390" s="95" t="s">
        <v>1716</v>
      </c>
      <c r="D390" s="95" t="s">
        <v>26</v>
      </c>
      <c r="E390" s="95" t="s">
        <v>436</v>
      </c>
      <c r="F390" s="95" t="s">
        <v>406</v>
      </c>
      <c r="G390" s="101">
        <v>46014</v>
      </c>
      <c r="H390" s="95" t="s">
        <v>45</v>
      </c>
      <c r="I390" s="97"/>
      <c r="J390" s="97">
        <v>40</v>
      </c>
      <c r="K390" s="97"/>
      <c r="L390" s="97">
        <v>20</v>
      </c>
      <c r="M390" s="97">
        <v>90</v>
      </c>
      <c r="N390" s="145">
        <f t="shared" si="17"/>
        <v>150</v>
      </c>
      <c r="O390" s="7"/>
      <c r="P390" s="95" t="s">
        <v>520</v>
      </c>
      <c r="Q390" s="101">
        <v>46018</v>
      </c>
      <c r="R390" s="1"/>
    </row>
    <row r="391" spans="1:18" ht="15.75" customHeight="1" x14ac:dyDescent="0.2">
      <c r="A391" s="245" t="s">
        <v>1723</v>
      </c>
      <c r="B391" s="229" t="s">
        <v>1718</v>
      </c>
      <c r="C391" s="95" t="s">
        <v>1719</v>
      </c>
      <c r="D391" s="95" t="s">
        <v>26</v>
      </c>
      <c r="E391" s="95" t="s">
        <v>413</v>
      </c>
      <c r="F391" s="95" t="s">
        <v>406</v>
      </c>
      <c r="G391" s="101">
        <v>46017</v>
      </c>
      <c r="H391" s="95" t="s">
        <v>45</v>
      </c>
      <c r="I391" s="97"/>
      <c r="J391" s="97">
        <v>50</v>
      </c>
      <c r="K391" s="97">
        <v>60</v>
      </c>
      <c r="L391" s="97">
        <v>40</v>
      </c>
      <c r="M391" s="97">
        <v>200</v>
      </c>
      <c r="N391" s="145">
        <f t="shared" si="17"/>
        <v>350</v>
      </c>
      <c r="O391" s="98"/>
      <c r="P391" s="95" t="s">
        <v>520</v>
      </c>
      <c r="Q391" s="101">
        <v>46018</v>
      </c>
      <c r="R391" s="1"/>
    </row>
    <row r="392" spans="1:18" ht="15.75" customHeight="1" x14ac:dyDescent="0.2">
      <c r="A392" s="245" t="s">
        <v>1722</v>
      </c>
      <c r="B392" s="229" t="s">
        <v>1720</v>
      </c>
      <c r="C392" s="95" t="s">
        <v>1721</v>
      </c>
      <c r="D392" s="288" t="s">
        <v>26</v>
      </c>
      <c r="E392" s="95" t="s">
        <v>661</v>
      </c>
      <c r="F392" s="95" t="s">
        <v>406</v>
      </c>
      <c r="G392" s="101">
        <v>46019</v>
      </c>
      <c r="H392" s="95" t="s">
        <v>45</v>
      </c>
      <c r="I392" s="97">
        <v>150</v>
      </c>
      <c r="J392" s="97">
        <v>50</v>
      </c>
      <c r="K392" s="97">
        <v>60</v>
      </c>
      <c r="L392" s="97">
        <v>40</v>
      </c>
      <c r="M392" s="97"/>
      <c r="N392" s="145">
        <f t="shared" ref="N392:N393" si="18">SUM(I392:M392)</f>
        <v>300</v>
      </c>
      <c r="O392" s="98"/>
      <c r="P392" s="95" t="s">
        <v>520</v>
      </c>
      <c r="Q392" s="101">
        <v>46018</v>
      </c>
      <c r="R392" s="1"/>
    </row>
    <row r="393" spans="1:18" s="287" customFormat="1" ht="15.75" customHeight="1" x14ac:dyDescent="0.2">
      <c r="A393" s="279" t="s">
        <v>697</v>
      </c>
      <c r="B393" s="280" t="s">
        <v>1725</v>
      </c>
      <c r="C393" s="281" t="s">
        <v>1680</v>
      </c>
      <c r="D393" s="282" t="s">
        <v>26</v>
      </c>
      <c r="E393" s="281" t="s">
        <v>413</v>
      </c>
      <c r="F393" s="281" t="s">
        <v>461</v>
      </c>
      <c r="G393" s="281"/>
      <c r="H393" s="281" t="s">
        <v>45</v>
      </c>
      <c r="I393" s="283"/>
      <c r="J393" s="283">
        <v>50</v>
      </c>
      <c r="K393" s="283">
        <v>60</v>
      </c>
      <c r="L393" s="283">
        <v>40</v>
      </c>
      <c r="M393" s="283">
        <v>200</v>
      </c>
      <c r="N393" s="284">
        <f t="shared" si="18"/>
        <v>350</v>
      </c>
      <c r="O393" s="285"/>
      <c r="P393" s="281" t="s">
        <v>520</v>
      </c>
      <c r="Q393" s="281"/>
      <c r="R393" s="286"/>
    </row>
    <row r="394" spans="1:18" ht="15.75" customHeight="1" x14ac:dyDescent="0.2">
      <c r="A394" s="41"/>
      <c r="B394" s="276"/>
      <c r="C394" s="93"/>
      <c r="D394" s="8"/>
      <c r="E394" s="3"/>
      <c r="F394" s="8"/>
      <c r="G394" s="3"/>
      <c r="H394" s="3"/>
      <c r="I394" s="4"/>
      <c r="J394" s="4"/>
      <c r="K394" s="4"/>
      <c r="L394" s="4"/>
      <c r="M394" s="4"/>
      <c r="N394" s="126"/>
      <c r="O394" s="7"/>
      <c r="P394" s="3"/>
      <c r="Q394" s="3"/>
      <c r="R394" s="1"/>
    </row>
    <row r="395" spans="1:18" ht="15.75" customHeight="1" x14ac:dyDescent="0.2">
      <c r="A395" s="2"/>
      <c r="B395" s="276"/>
      <c r="C395" s="3"/>
      <c r="D395" s="8"/>
      <c r="E395" s="3"/>
      <c r="F395" s="3"/>
      <c r="G395" s="3"/>
      <c r="H395" s="3"/>
      <c r="I395" s="4"/>
      <c r="J395" s="4"/>
      <c r="K395" s="4"/>
      <c r="L395" s="4"/>
      <c r="M395" s="4"/>
      <c r="N395" s="126"/>
      <c r="O395" s="7"/>
      <c r="P395" s="3"/>
      <c r="Q395" s="3"/>
      <c r="R395" s="1"/>
    </row>
    <row r="396" spans="1:18" ht="24" customHeight="1" x14ac:dyDescent="0.2">
      <c r="A396" s="57"/>
      <c r="B396" s="276"/>
      <c r="C396" s="3"/>
      <c r="D396" s="8"/>
      <c r="E396" s="3"/>
      <c r="F396" s="3"/>
      <c r="G396" s="3"/>
      <c r="H396" s="3"/>
      <c r="I396" s="4"/>
      <c r="J396" s="4"/>
      <c r="K396" s="4"/>
      <c r="L396" s="4"/>
      <c r="M396" s="4"/>
      <c r="N396" s="126"/>
      <c r="O396" s="7"/>
      <c r="P396" s="3"/>
      <c r="Q396" s="3"/>
      <c r="R396" s="1"/>
    </row>
    <row r="397" spans="1:18" ht="15.75" customHeight="1" x14ac:dyDescent="0.2">
      <c r="A397" s="2"/>
      <c r="B397" s="276"/>
      <c r="C397" s="3"/>
      <c r="D397" s="8"/>
      <c r="E397" s="3"/>
      <c r="F397" s="3"/>
      <c r="G397" s="3"/>
      <c r="H397" s="3"/>
      <c r="I397" s="4"/>
      <c r="J397" s="4"/>
      <c r="K397" s="4"/>
      <c r="L397" s="4"/>
      <c r="M397" s="4"/>
      <c r="N397" s="126"/>
      <c r="O397" s="7"/>
      <c r="P397" s="3"/>
      <c r="Q397" s="3"/>
      <c r="R397" s="1"/>
    </row>
    <row r="398" spans="1:18" ht="15.75" customHeight="1" x14ac:dyDescent="0.2">
      <c r="A398" s="2"/>
      <c r="B398" s="265"/>
      <c r="C398" s="3"/>
      <c r="D398" s="8"/>
      <c r="E398" s="3"/>
      <c r="F398" s="3"/>
      <c r="G398" s="3"/>
      <c r="H398" s="3"/>
      <c r="I398" s="4"/>
      <c r="J398" s="4"/>
      <c r="K398" s="4"/>
      <c r="L398" s="4"/>
      <c r="M398" s="4"/>
      <c r="N398" s="126"/>
      <c r="O398" s="7"/>
      <c r="P398" s="3"/>
      <c r="Q398" s="3"/>
      <c r="R398" s="1"/>
    </row>
    <row r="399" spans="1:18" ht="15.75" customHeight="1" x14ac:dyDescent="0.2">
      <c r="A399" s="2"/>
      <c r="B399" s="9"/>
      <c r="C399" s="3"/>
      <c r="D399" s="8"/>
      <c r="E399" s="3"/>
      <c r="F399" s="3"/>
      <c r="G399" s="3"/>
      <c r="H399" s="3"/>
      <c r="I399" s="4"/>
      <c r="J399" s="4"/>
      <c r="K399" s="4"/>
      <c r="L399" s="4"/>
      <c r="M399" s="4"/>
      <c r="N399" s="126"/>
      <c r="O399" s="7"/>
      <c r="P399" s="3"/>
      <c r="Q399" s="3"/>
      <c r="R399" s="1"/>
    </row>
    <row r="400" spans="1:18" ht="15.75" customHeight="1" x14ac:dyDescent="0.2">
      <c r="A400" s="2"/>
      <c r="B400" s="9"/>
      <c r="C400" s="3"/>
      <c r="D400" s="8"/>
      <c r="E400" s="3"/>
      <c r="F400" s="3"/>
      <c r="G400" s="3"/>
      <c r="H400" s="3"/>
      <c r="I400" s="4"/>
      <c r="J400" s="4"/>
      <c r="K400" s="4"/>
      <c r="L400" s="4"/>
      <c r="M400" s="4"/>
      <c r="N400" s="126"/>
      <c r="O400" s="7"/>
      <c r="P400" s="3"/>
      <c r="Q400" s="3"/>
      <c r="R400" s="1"/>
    </row>
    <row r="401" spans="1:18" ht="15.75" customHeight="1" x14ac:dyDescent="0.2">
      <c r="A401" s="2"/>
      <c r="B401" s="276"/>
      <c r="C401" s="3"/>
      <c r="D401" s="8"/>
      <c r="E401" s="3"/>
      <c r="F401" s="3"/>
      <c r="G401" s="3"/>
      <c r="H401" s="3"/>
      <c r="I401" s="4"/>
      <c r="J401" s="4"/>
      <c r="K401" s="4"/>
      <c r="L401" s="4"/>
      <c r="M401" s="4"/>
      <c r="N401" s="126"/>
      <c r="O401" s="7"/>
      <c r="P401" s="3"/>
      <c r="Q401" s="3"/>
      <c r="R401" s="1"/>
    </row>
    <row r="402" spans="1:18" ht="15.75" customHeight="1" x14ac:dyDescent="0.2">
      <c r="A402" s="41"/>
      <c r="B402" s="276"/>
      <c r="C402" s="93"/>
      <c r="D402" s="8"/>
      <c r="E402" s="3"/>
      <c r="F402" s="3"/>
      <c r="G402" s="3"/>
      <c r="H402" s="3"/>
      <c r="I402" s="4"/>
      <c r="J402" s="4"/>
      <c r="K402" s="4"/>
      <c r="L402" s="4"/>
      <c r="M402" s="4"/>
      <c r="N402" s="126"/>
      <c r="O402" s="7"/>
      <c r="P402" s="3"/>
      <c r="Q402" s="3"/>
      <c r="R402" s="1"/>
    </row>
    <row r="403" spans="1:18" ht="22.5" customHeight="1" x14ac:dyDescent="0.2">
      <c r="A403" s="57"/>
      <c r="B403" s="276"/>
      <c r="C403" s="3"/>
      <c r="D403" s="8"/>
      <c r="E403" s="3"/>
      <c r="F403" s="3"/>
      <c r="G403" s="3"/>
      <c r="H403" s="3"/>
      <c r="I403" s="4"/>
      <c r="J403" s="4"/>
      <c r="K403" s="4"/>
      <c r="L403" s="4"/>
      <c r="M403" s="4"/>
      <c r="N403" s="126"/>
      <c r="O403" s="7"/>
      <c r="P403" s="3"/>
      <c r="Q403" s="3"/>
      <c r="R403" s="1"/>
    </row>
    <row r="404" spans="1:18" ht="15.75" customHeight="1" x14ac:dyDescent="0.2">
      <c r="A404" s="2"/>
      <c r="B404" s="276"/>
      <c r="C404" s="3"/>
      <c r="D404" s="8"/>
      <c r="E404" s="3"/>
      <c r="F404" s="3"/>
      <c r="G404" s="3"/>
      <c r="H404" s="3"/>
      <c r="I404" s="4"/>
      <c r="J404" s="4"/>
      <c r="K404" s="4"/>
      <c r="L404" s="4"/>
      <c r="M404" s="4"/>
      <c r="N404" s="126"/>
      <c r="O404" s="7"/>
      <c r="P404" s="3"/>
      <c r="Q404" s="3"/>
      <c r="R404" s="1"/>
    </row>
    <row r="405" spans="1:18" ht="15.75" customHeight="1" x14ac:dyDescent="0.2">
      <c r="A405" s="2"/>
      <c r="B405" s="9"/>
      <c r="C405" s="3"/>
      <c r="D405" s="8"/>
      <c r="E405" s="3"/>
      <c r="F405" s="3"/>
      <c r="G405" s="3"/>
      <c r="H405" s="3"/>
      <c r="I405" s="4"/>
      <c r="J405" s="4"/>
      <c r="K405" s="4"/>
      <c r="L405" s="4"/>
      <c r="M405" s="4"/>
      <c r="N405" s="126"/>
      <c r="O405" s="7"/>
      <c r="P405" s="3"/>
      <c r="Q405" s="3"/>
      <c r="R405" s="1"/>
    </row>
    <row r="406" spans="1:18" ht="15.75" customHeight="1" x14ac:dyDescent="0.2">
      <c r="A406" s="2"/>
      <c r="B406" s="9"/>
      <c r="C406" s="3"/>
      <c r="D406" s="3"/>
      <c r="E406" s="3"/>
      <c r="F406" s="3"/>
      <c r="G406" s="3"/>
      <c r="H406" s="3"/>
      <c r="I406" s="4"/>
      <c r="J406" s="4"/>
      <c r="K406" s="4"/>
      <c r="L406" s="4"/>
      <c r="M406" s="4"/>
      <c r="N406" s="126"/>
      <c r="O406" s="7"/>
      <c r="P406" s="3"/>
      <c r="Q406" s="3"/>
      <c r="R406" s="1"/>
    </row>
    <row r="407" spans="1:18" ht="15.75" customHeight="1" x14ac:dyDescent="0.2">
      <c r="A407" s="2"/>
      <c r="B407" s="9"/>
      <c r="C407" s="3"/>
      <c r="D407" s="3"/>
      <c r="E407" s="3"/>
      <c r="F407" s="3"/>
      <c r="G407" s="3"/>
      <c r="H407" s="3"/>
      <c r="I407" s="4"/>
      <c r="J407" s="4"/>
      <c r="K407" s="4"/>
      <c r="L407" s="4"/>
      <c r="M407" s="4"/>
      <c r="N407" s="126"/>
      <c r="O407" s="7"/>
      <c r="P407" s="3"/>
      <c r="Q407" s="3"/>
      <c r="R407" s="1"/>
    </row>
    <row r="408" spans="1:18" ht="15.75" customHeight="1" x14ac:dyDescent="0.2">
      <c r="A408" s="2"/>
      <c r="B408" s="9"/>
      <c r="C408" s="3"/>
      <c r="D408" s="3"/>
      <c r="E408" s="3"/>
      <c r="F408" s="3"/>
      <c r="G408" s="3"/>
      <c r="H408" s="3"/>
      <c r="I408" s="4"/>
      <c r="J408" s="4"/>
      <c r="K408" s="4"/>
      <c r="L408" s="4"/>
      <c r="M408" s="4"/>
      <c r="N408" s="126"/>
      <c r="O408" s="7"/>
      <c r="P408" s="3"/>
      <c r="Q408" s="3"/>
      <c r="R408" s="1"/>
    </row>
    <row r="409" spans="1:18" ht="15.75" customHeight="1" x14ac:dyDescent="0.2">
      <c r="A409" s="2"/>
      <c r="B409" s="9"/>
      <c r="C409" s="3"/>
      <c r="D409" s="3"/>
      <c r="E409" s="3"/>
      <c r="F409" s="3"/>
      <c r="G409" s="3"/>
      <c r="H409" s="3"/>
      <c r="I409" s="4"/>
      <c r="J409" s="4"/>
      <c r="K409" s="4"/>
      <c r="L409" s="4"/>
      <c r="M409" s="4"/>
      <c r="N409" s="126"/>
      <c r="O409" s="7"/>
      <c r="P409" s="3"/>
      <c r="Q409" s="3"/>
      <c r="R409" s="1"/>
    </row>
    <row r="410" spans="1:18" ht="15.75" customHeight="1" x14ac:dyDescent="0.2">
      <c r="A410" s="2"/>
      <c r="B410" s="9"/>
      <c r="C410" s="3"/>
      <c r="D410" s="3"/>
      <c r="E410" s="3"/>
      <c r="F410" s="3"/>
      <c r="G410" s="3"/>
      <c r="H410" s="3"/>
      <c r="I410" s="4"/>
      <c r="J410" s="4"/>
      <c r="K410" s="4"/>
      <c r="L410" s="4"/>
      <c r="M410" s="4"/>
      <c r="N410" s="126"/>
      <c r="O410" s="7"/>
      <c r="P410" s="3"/>
      <c r="Q410" s="3"/>
      <c r="R410" s="1"/>
    </row>
    <row r="411" spans="1:18" ht="15.75" customHeight="1" x14ac:dyDescent="0.2">
      <c r="A411" s="2"/>
      <c r="B411" s="9"/>
      <c r="C411" s="3"/>
      <c r="D411" s="3"/>
      <c r="E411" s="3"/>
      <c r="F411" s="3"/>
      <c r="G411" s="3"/>
      <c r="H411" s="3"/>
      <c r="I411" s="4"/>
      <c r="J411" s="4"/>
      <c r="K411" s="4"/>
      <c r="L411" s="4"/>
      <c r="M411" s="4"/>
      <c r="N411" s="126"/>
      <c r="O411" s="7"/>
      <c r="P411" s="3"/>
      <c r="Q411" s="3"/>
      <c r="R411" s="1"/>
    </row>
    <row r="412" spans="1:18" ht="15.75" customHeight="1" x14ac:dyDescent="0.2">
      <c r="A412" s="2"/>
      <c r="B412" s="9"/>
      <c r="C412" s="3"/>
      <c r="D412" s="3"/>
      <c r="E412" s="3"/>
      <c r="F412" s="3"/>
      <c r="G412" s="3"/>
      <c r="H412" s="3"/>
      <c r="I412" s="4"/>
      <c r="J412" s="4"/>
      <c r="K412" s="4"/>
      <c r="L412" s="4"/>
      <c r="M412" s="4"/>
      <c r="N412" s="126"/>
      <c r="O412" s="7"/>
      <c r="P412" s="3"/>
      <c r="Q412" s="3"/>
      <c r="R412" s="1"/>
    </row>
    <row r="413" spans="1:18" ht="15.75" customHeight="1" x14ac:dyDescent="0.2">
      <c r="A413" s="2"/>
      <c r="B413" s="9"/>
      <c r="C413" s="3"/>
      <c r="D413" s="3"/>
      <c r="E413" s="3"/>
      <c r="F413" s="3"/>
      <c r="G413" s="3"/>
      <c r="H413" s="3"/>
      <c r="I413" s="4"/>
      <c r="J413" s="4"/>
      <c r="K413" s="4"/>
      <c r="L413" s="4"/>
      <c r="M413" s="4"/>
      <c r="N413" s="126"/>
      <c r="O413" s="7"/>
      <c r="P413" s="3"/>
      <c r="Q413" s="3"/>
      <c r="R413" s="1"/>
    </row>
    <row r="414" spans="1:18" ht="15.75" customHeight="1" x14ac:dyDescent="0.2">
      <c r="A414" s="2"/>
      <c r="B414" s="9"/>
      <c r="C414" s="3"/>
      <c r="D414" s="3"/>
      <c r="E414" s="3"/>
      <c r="F414" s="3"/>
      <c r="G414" s="3"/>
      <c r="H414" s="3"/>
      <c r="I414" s="4"/>
      <c r="J414" s="4"/>
      <c r="K414" s="4"/>
      <c r="L414" s="4"/>
      <c r="M414" s="4"/>
      <c r="N414" s="126"/>
      <c r="O414" s="7"/>
      <c r="P414" s="3"/>
      <c r="Q414" s="3"/>
      <c r="R414" s="1"/>
    </row>
    <row r="415" spans="1:18" ht="15.75" customHeight="1" x14ac:dyDescent="0.2">
      <c r="A415" s="2"/>
      <c r="B415" s="9"/>
      <c r="C415" s="3"/>
      <c r="D415" s="3"/>
      <c r="E415" s="3"/>
      <c r="F415" s="3"/>
      <c r="G415" s="3"/>
      <c r="H415" s="3"/>
      <c r="I415" s="4"/>
      <c r="J415" s="4"/>
      <c r="K415" s="4"/>
      <c r="L415" s="4"/>
      <c r="M415" s="4"/>
      <c r="N415" s="126"/>
      <c r="O415" s="7"/>
      <c r="P415" s="3"/>
      <c r="Q415" s="3"/>
      <c r="R415" s="1"/>
    </row>
    <row r="416" spans="1:18" ht="15.75" customHeight="1" x14ac:dyDescent="0.2">
      <c r="A416" s="2"/>
      <c r="B416" s="9"/>
      <c r="C416" s="3"/>
      <c r="D416" s="3"/>
      <c r="E416" s="3"/>
      <c r="F416" s="3"/>
      <c r="G416" s="3"/>
      <c r="H416" s="3"/>
      <c r="I416" s="4"/>
      <c r="J416" s="4"/>
      <c r="K416" s="4"/>
      <c r="L416" s="4"/>
      <c r="M416" s="4"/>
      <c r="N416" s="126"/>
      <c r="O416" s="7"/>
      <c r="P416" s="3"/>
      <c r="Q416" s="3"/>
      <c r="R416" s="1"/>
    </row>
    <row r="417" spans="1:18" ht="15.75" customHeight="1" x14ac:dyDescent="0.2">
      <c r="A417" s="2"/>
      <c r="B417" s="9"/>
      <c r="C417" s="3"/>
      <c r="D417" s="3"/>
      <c r="E417" s="3"/>
      <c r="F417" s="3"/>
      <c r="G417" s="3"/>
      <c r="H417" s="3"/>
      <c r="I417" s="4"/>
      <c r="J417" s="4"/>
      <c r="K417" s="4"/>
      <c r="L417" s="4"/>
      <c r="M417" s="4"/>
      <c r="N417" s="126"/>
      <c r="O417" s="7"/>
      <c r="P417" s="3"/>
      <c r="Q417" s="3"/>
      <c r="R417" s="1"/>
    </row>
    <row r="418" spans="1:18" ht="15.75" customHeight="1" x14ac:dyDescent="0.2">
      <c r="A418" s="2"/>
      <c r="B418" s="9"/>
      <c r="C418" s="3"/>
      <c r="D418" s="3"/>
      <c r="E418" s="3"/>
      <c r="F418" s="3"/>
      <c r="G418" s="3"/>
      <c r="H418" s="3"/>
      <c r="I418" s="4"/>
      <c r="J418" s="4"/>
      <c r="K418" s="4"/>
      <c r="L418" s="4"/>
      <c r="M418" s="4"/>
      <c r="N418" s="126"/>
      <c r="O418" s="7"/>
      <c r="P418" s="3"/>
      <c r="Q418" s="3"/>
      <c r="R418" s="1"/>
    </row>
    <row r="419" spans="1:18" ht="15.75" customHeight="1" x14ac:dyDescent="0.2">
      <c r="A419" s="2"/>
      <c r="B419" s="9"/>
      <c r="C419" s="3"/>
      <c r="D419" s="3"/>
      <c r="E419" s="3"/>
      <c r="F419" s="3"/>
      <c r="G419" s="3"/>
      <c r="H419" s="3"/>
      <c r="I419" s="4"/>
      <c r="J419" s="4"/>
      <c r="K419" s="4"/>
      <c r="L419" s="4"/>
      <c r="M419" s="4"/>
      <c r="N419" s="126"/>
      <c r="O419" s="7"/>
      <c r="P419" s="3"/>
      <c r="Q419" s="3"/>
      <c r="R419" s="1"/>
    </row>
    <row r="420" spans="1:18" ht="15.75" customHeight="1" x14ac:dyDescent="0.2">
      <c r="A420" s="2"/>
      <c r="B420" s="9"/>
      <c r="C420" s="3"/>
      <c r="D420" s="3"/>
      <c r="E420" s="3"/>
      <c r="F420" s="3"/>
      <c r="G420" s="3"/>
      <c r="H420" s="3"/>
      <c r="I420" s="4"/>
      <c r="J420" s="4"/>
      <c r="K420" s="4"/>
      <c r="L420" s="4"/>
      <c r="M420" s="4"/>
      <c r="N420" s="126"/>
      <c r="O420" s="7"/>
      <c r="P420" s="3"/>
      <c r="Q420" s="3"/>
      <c r="R420" s="1"/>
    </row>
    <row r="421" spans="1:18" ht="15.75" customHeight="1" x14ac:dyDescent="0.2">
      <c r="A421" s="2"/>
      <c r="B421" s="9"/>
      <c r="C421" s="3"/>
      <c r="D421" s="3"/>
      <c r="E421" s="3"/>
      <c r="F421" s="3"/>
      <c r="G421" s="3"/>
      <c r="H421" s="3"/>
      <c r="I421" s="4"/>
      <c r="J421" s="4"/>
      <c r="K421" s="4"/>
      <c r="L421" s="4"/>
      <c r="M421" s="4"/>
      <c r="N421" s="126"/>
      <c r="O421" s="7"/>
      <c r="P421" s="3"/>
      <c r="Q421" s="3"/>
      <c r="R421" s="1"/>
    </row>
    <row r="422" spans="1:18" ht="15.75" customHeight="1" x14ac:dyDescent="0.2">
      <c r="A422" s="2"/>
      <c r="B422" s="9"/>
      <c r="C422" s="3"/>
      <c r="D422" s="3"/>
      <c r="E422" s="3"/>
      <c r="F422" s="3"/>
      <c r="G422" s="3"/>
      <c r="H422" s="3"/>
      <c r="I422" s="4"/>
      <c r="J422" s="4"/>
      <c r="K422" s="4"/>
      <c r="L422" s="4"/>
      <c r="M422" s="4"/>
      <c r="N422" s="126"/>
      <c r="O422" s="7"/>
      <c r="P422" s="3"/>
      <c r="Q422" s="3"/>
      <c r="R422" s="1"/>
    </row>
    <row r="423" spans="1:18" ht="15.75" customHeight="1" x14ac:dyDescent="0.2">
      <c r="A423" s="2"/>
      <c r="B423" s="9"/>
      <c r="C423" s="3"/>
      <c r="D423" s="3"/>
      <c r="E423" s="3"/>
      <c r="F423" s="3"/>
      <c r="G423" s="3"/>
      <c r="H423" s="3"/>
      <c r="I423" s="4"/>
      <c r="J423" s="4"/>
      <c r="K423" s="4"/>
      <c r="L423" s="4"/>
      <c r="M423" s="4"/>
      <c r="N423" s="126"/>
      <c r="O423" s="7"/>
      <c r="P423" s="3"/>
      <c r="Q423" s="3"/>
      <c r="R423" s="1"/>
    </row>
    <row r="424" spans="1:18" ht="15.75" customHeight="1" x14ac:dyDescent="0.2">
      <c r="A424" s="2"/>
      <c r="B424" s="9"/>
      <c r="C424" s="3"/>
      <c r="D424" s="3"/>
      <c r="E424" s="3"/>
      <c r="F424" s="3"/>
      <c r="G424" s="3"/>
      <c r="H424" s="3"/>
      <c r="I424" s="4"/>
      <c r="J424" s="4"/>
      <c r="K424" s="4"/>
      <c r="L424" s="4"/>
      <c r="M424" s="4"/>
      <c r="N424" s="126"/>
      <c r="O424" s="7"/>
      <c r="P424" s="3"/>
      <c r="Q424" s="3"/>
      <c r="R424" s="1"/>
    </row>
    <row r="425" spans="1:18" ht="15.75" customHeight="1" x14ac:dyDescent="0.2">
      <c r="A425" s="2"/>
      <c r="B425" s="9"/>
      <c r="C425" s="3"/>
      <c r="D425" s="3"/>
      <c r="E425" s="3"/>
      <c r="F425" s="3"/>
      <c r="G425" s="3"/>
      <c r="H425" s="3"/>
      <c r="I425" s="4"/>
      <c r="J425" s="4"/>
      <c r="K425" s="4"/>
      <c r="L425" s="4"/>
      <c r="M425" s="4"/>
      <c r="N425" s="126"/>
      <c r="O425" s="7"/>
      <c r="P425" s="3"/>
      <c r="Q425" s="3"/>
      <c r="R425" s="1"/>
    </row>
    <row r="426" spans="1:18" ht="15.75" customHeight="1" x14ac:dyDescent="0.2">
      <c r="A426" s="2"/>
      <c r="B426" s="9"/>
      <c r="C426" s="3"/>
      <c r="D426" s="3"/>
      <c r="E426" s="3"/>
      <c r="F426" s="3"/>
      <c r="G426" s="3"/>
      <c r="H426" s="3"/>
      <c r="I426" s="4"/>
      <c r="J426" s="4"/>
      <c r="K426" s="4"/>
      <c r="L426" s="4"/>
      <c r="M426" s="4"/>
      <c r="N426" s="126"/>
      <c r="O426" s="7"/>
      <c r="P426" s="3"/>
      <c r="Q426" s="3"/>
      <c r="R426" s="1"/>
    </row>
    <row r="427" spans="1:18" ht="15.75" customHeight="1" x14ac:dyDescent="0.2">
      <c r="A427" s="2"/>
      <c r="B427" s="9"/>
      <c r="C427" s="3"/>
      <c r="D427" s="3"/>
      <c r="E427" s="3"/>
      <c r="F427" s="3"/>
      <c r="G427" s="3"/>
      <c r="H427" s="3"/>
      <c r="I427" s="4"/>
      <c r="J427" s="4"/>
      <c r="K427" s="4"/>
      <c r="L427" s="4"/>
      <c r="M427" s="4"/>
      <c r="N427" s="126"/>
      <c r="O427" s="7"/>
      <c r="P427" s="3"/>
      <c r="Q427" s="3"/>
      <c r="R427" s="1"/>
    </row>
    <row r="428" spans="1:18" ht="15.75" customHeight="1" x14ac:dyDescent="0.2">
      <c r="A428" s="2"/>
      <c r="B428" s="9"/>
      <c r="C428" s="3"/>
      <c r="D428" s="3"/>
      <c r="E428" s="3"/>
      <c r="F428" s="3"/>
      <c r="G428" s="3"/>
      <c r="H428" s="3"/>
      <c r="I428" s="4"/>
      <c r="J428" s="4"/>
      <c r="K428" s="4"/>
      <c r="L428" s="4"/>
      <c r="M428" s="4"/>
      <c r="N428" s="126"/>
      <c r="O428" s="7"/>
      <c r="P428" s="3"/>
      <c r="Q428" s="3"/>
      <c r="R428" s="1"/>
    </row>
    <row r="429" spans="1:18" ht="15.75" customHeight="1" x14ac:dyDescent="0.2">
      <c r="A429" s="2"/>
      <c r="B429" s="9"/>
      <c r="C429" s="3"/>
      <c r="D429" s="3"/>
      <c r="E429" s="3"/>
      <c r="F429" s="3"/>
      <c r="G429" s="3"/>
      <c r="H429" s="3"/>
      <c r="I429" s="4"/>
      <c r="J429" s="4"/>
      <c r="K429" s="4"/>
      <c r="L429" s="4"/>
      <c r="M429" s="4"/>
      <c r="N429" s="126"/>
      <c r="O429" s="7"/>
      <c r="P429" s="3"/>
      <c r="Q429" s="3"/>
      <c r="R429" s="1"/>
    </row>
    <row r="430" spans="1:18" ht="15.75" customHeight="1" x14ac:dyDescent="0.2">
      <c r="A430" s="2"/>
      <c r="B430" s="9"/>
      <c r="C430" s="3"/>
      <c r="D430" s="3"/>
      <c r="E430" s="3"/>
      <c r="F430" s="3"/>
      <c r="G430" s="3"/>
      <c r="H430" s="3"/>
      <c r="I430" s="4"/>
      <c r="J430" s="4"/>
      <c r="K430" s="4"/>
      <c r="L430" s="4"/>
      <c r="M430" s="4"/>
      <c r="N430" s="126"/>
      <c r="O430" s="7"/>
      <c r="P430" s="3"/>
      <c r="Q430" s="3"/>
      <c r="R430" s="1"/>
    </row>
    <row r="431" spans="1:18" ht="15.75" customHeight="1" x14ac:dyDescent="0.2">
      <c r="A431" s="2"/>
      <c r="B431" s="9"/>
      <c r="C431" s="3"/>
      <c r="D431" s="3"/>
      <c r="E431" s="3"/>
      <c r="F431" s="3"/>
      <c r="G431" s="3"/>
      <c r="H431" s="3"/>
      <c r="I431" s="4"/>
      <c r="J431" s="4"/>
      <c r="K431" s="4"/>
      <c r="L431" s="4"/>
      <c r="M431" s="4"/>
      <c r="N431" s="126"/>
      <c r="O431" s="7"/>
      <c r="P431" s="3"/>
      <c r="Q431" s="3"/>
      <c r="R431" s="1"/>
    </row>
    <row r="432" spans="1:18" ht="15.75" customHeight="1" x14ac:dyDescent="0.2">
      <c r="A432" s="2"/>
      <c r="B432" s="9"/>
      <c r="C432" s="3"/>
      <c r="D432" s="3"/>
      <c r="E432" s="3"/>
      <c r="F432" s="3"/>
      <c r="G432" s="3"/>
      <c r="H432" s="3"/>
      <c r="I432" s="4"/>
      <c r="J432" s="4"/>
      <c r="K432" s="4"/>
      <c r="L432" s="4"/>
      <c r="M432" s="4"/>
      <c r="N432" s="126"/>
      <c r="O432" s="7"/>
      <c r="P432" s="3"/>
      <c r="Q432" s="3"/>
      <c r="R432" s="1"/>
    </row>
    <row r="433" spans="1:18" ht="15.75" customHeight="1" x14ac:dyDescent="0.2">
      <c r="A433" s="2"/>
      <c r="B433" s="9"/>
      <c r="C433" s="3"/>
      <c r="D433" s="3"/>
      <c r="E433" s="3"/>
      <c r="F433" s="3"/>
      <c r="G433" s="3"/>
      <c r="H433" s="3"/>
      <c r="I433" s="4"/>
      <c r="J433" s="4"/>
      <c r="K433" s="4"/>
      <c r="L433" s="4"/>
      <c r="M433" s="4"/>
      <c r="N433" s="126"/>
      <c r="O433" s="7"/>
      <c r="P433" s="3"/>
      <c r="Q433" s="3"/>
      <c r="R433" s="1"/>
    </row>
    <row r="434" spans="1:18" ht="15.75" customHeight="1" x14ac:dyDescent="0.2">
      <c r="A434" s="2"/>
      <c r="B434" s="9"/>
      <c r="C434" s="3"/>
      <c r="D434" s="3"/>
      <c r="E434" s="3"/>
      <c r="F434" s="3"/>
      <c r="G434" s="3"/>
      <c r="H434" s="3"/>
      <c r="I434" s="4"/>
      <c r="J434" s="4"/>
      <c r="K434" s="4"/>
      <c r="L434" s="4"/>
      <c r="M434" s="4"/>
      <c r="N434" s="126"/>
      <c r="O434" s="7"/>
      <c r="P434" s="3"/>
      <c r="Q434" s="3"/>
      <c r="R434" s="1"/>
    </row>
    <row r="435" spans="1:18" ht="15.75" customHeight="1" x14ac:dyDescent="0.2">
      <c r="A435" s="2"/>
      <c r="B435" s="9"/>
      <c r="C435" s="3"/>
      <c r="D435" s="3"/>
      <c r="E435" s="3"/>
      <c r="F435" s="3"/>
      <c r="G435" s="3"/>
      <c r="H435" s="3"/>
      <c r="I435" s="4"/>
      <c r="J435" s="4"/>
      <c r="K435" s="4"/>
      <c r="L435" s="4"/>
      <c r="M435" s="4"/>
      <c r="N435" s="126"/>
      <c r="O435" s="7"/>
      <c r="P435" s="3"/>
      <c r="Q435" s="3"/>
      <c r="R435" s="1"/>
    </row>
    <row r="436" spans="1:18" ht="15.75" customHeight="1" x14ac:dyDescent="0.2">
      <c r="A436" s="2"/>
      <c r="B436" s="9"/>
      <c r="C436" s="3"/>
      <c r="D436" s="3"/>
      <c r="E436" s="3"/>
      <c r="F436" s="3"/>
      <c r="G436" s="3"/>
      <c r="H436" s="3"/>
      <c r="I436" s="4"/>
      <c r="J436" s="4"/>
      <c r="K436" s="4"/>
      <c r="L436" s="4"/>
      <c r="M436" s="4"/>
      <c r="N436" s="126"/>
      <c r="O436" s="7"/>
      <c r="P436" s="3"/>
      <c r="Q436" s="3"/>
      <c r="R436" s="1"/>
    </row>
    <row r="437" spans="1:18" ht="15.75" customHeight="1" x14ac:dyDescent="0.2">
      <c r="A437" s="2"/>
      <c r="B437" s="9"/>
      <c r="C437" s="3"/>
      <c r="D437" s="3"/>
      <c r="E437" s="3"/>
      <c r="F437" s="3"/>
      <c r="G437" s="3"/>
      <c r="H437" s="3"/>
      <c r="I437" s="4"/>
      <c r="J437" s="4"/>
      <c r="K437" s="4"/>
      <c r="L437" s="4"/>
      <c r="M437" s="4"/>
      <c r="N437" s="126"/>
      <c r="O437" s="7"/>
      <c r="P437" s="3"/>
      <c r="Q437" s="3"/>
      <c r="R437" s="1"/>
    </row>
    <row r="438" spans="1:18" ht="15.75" customHeight="1" x14ac:dyDescent="0.2">
      <c r="A438" s="2"/>
      <c r="B438" s="9"/>
      <c r="C438" s="3"/>
      <c r="D438" s="3"/>
      <c r="E438" s="3"/>
      <c r="F438" s="3"/>
      <c r="G438" s="3"/>
      <c r="H438" s="3"/>
      <c r="I438" s="4"/>
      <c r="J438" s="4"/>
      <c r="K438" s="4"/>
      <c r="L438" s="4"/>
      <c r="M438" s="4"/>
      <c r="N438" s="126"/>
      <c r="O438" s="7"/>
      <c r="P438" s="3"/>
      <c r="Q438" s="3"/>
      <c r="R438" s="1"/>
    </row>
    <row r="439" spans="1:18" ht="15.75" customHeight="1" x14ac:dyDescent="0.2">
      <c r="A439" s="2"/>
      <c r="B439" s="9"/>
      <c r="C439" s="3"/>
      <c r="D439" s="3"/>
      <c r="E439" s="3"/>
      <c r="F439" s="3"/>
      <c r="G439" s="3"/>
      <c r="H439" s="3"/>
      <c r="I439" s="4"/>
      <c r="J439" s="4"/>
      <c r="K439" s="4"/>
      <c r="L439" s="4"/>
      <c r="M439" s="4"/>
      <c r="N439" s="126"/>
      <c r="O439" s="7"/>
      <c r="P439" s="3"/>
      <c r="Q439" s="3"/>
      <c r="R439" s="1"/>
    </row>
    <row r="440" spans="1:18" ht="15.75" customHeight="1" x14ac:dyDescent="0.2">
      <c r="A440" s="2"/>
      <c r="B440" s="9"/>
      <c r="C440" s="3"/>
      <c r="D440" s="3"/>
      <c r="E440" s="3"/>
      <c r="F440" s="3"/>
      <c r="G440" s="3"/>
      <c r="H440" s="3"/>
      <c r="I440" s="4"/>
      <c r="J440" s="4"/>
      <c r="K440" s="4"/>
      <c r="L440" s="4"/>
      <c r="M440" s="4"/>
      <c r="N440" s="126"/>
      <c r="O440" s="7"/>
      <c r="P440" s="3"/>
      <c r="Q440" s="3"/>
      <c r="R440" s="1"/>
    </row>
    <row r="441" spans="1:18" ht="15.75" customHeight="1" x14ac:dyDescent="0.2">
      <c r="A441" s="2"/>
      <c r="B441" s="9"/>
      <c r="C441" s="3"/>
      <c r="D441" s="3"/>
      <c r="E441" s="3"/>
      <c r="F441" s="3"/>
      <c r="G441" s="3"/>
      <c r="H441" s="3"/>
      <c r="I441" s="4"/>
      <c r="J441" s="4"/>
      <c r="K441" s="4"/>
      <c r="L441" s="4"/>
      <c r="M441" s="4"/>
      <c r="N441" s="126"/>
      <c r="O441" s="7"/>
      <c r="P441" s="3"/>
      <c r="Q441" s="3"/>
      <c r="R441" s="1"/>
    </row>
    <row r="442" spans="1:18" ht="15.75" customHeight="1" x14ac:dyDescent="0.2">
      <c r="A442" s="2"/>
      <c r="B442" s="9"/>
      <c r="C442" s="3"/>
      <c r="D442" s="3"/>
      <c r="E442" s="3"/>
      <c r="F442" s="3"/>
      <c r="G442" s="3"/>
      <c r="H442" s="3"/>
      <c r="I442" s="4"/>
      <c r="J442" s="4"/>
      <c r="K442" s="4"/>
      <c r="L442" s="4"/>
      <c r="M442" s="4"/>
      <c r="N442" s="126"/>
      <c r="O442" s="7"/>
      <c r="P442" s="3"/>
      <c r="Q442" s="3"/>
      <c r="R442" s="1"/>
    </row>
    <row r="443" spans="1:18" ht="15.75" customHeight="1" x14ac:dyDescent="0.2">
      <c r="A443" s="2"/>
      <c r="B443" s="9"/>
      <c r="C443" s="3"/>
      <c r="D443" s="3"/>
      <c r="E443" s="3"/>
      <c r="F443" s="3"/>
      <c r="G443" s="3"/>
      <c r="H443" s="3"/>
      <c r="I443" s="4"/>
      <c r="J443" s="4"/>
      <c r="K443" s="4"/>
      <c r="L443" s="4"/>
      <c r="M443" s="4"/>
      <c r="N443" s="126"/>
      <c r="O443" s="7"/>
      <c r="P443" s="3"/>
      <c r="Q443" s="3"/>
      <c r="R443" s="1"/>
    </row>
    <row r="444" spans="1:18" ht="15.75" customHeight="1" x14ac:dyDescent="0.2">
      <c r="A444" s="2"/>
      <c r="B444" s="9"/>
      <c r="C444" s="3"/>
      <c r="D444" s="3"/>
      <c r="E444" s="3"/>
      <c r="F444" s="3"/>
      <c r="G444" s="3"/>
      <c r="H444" s="3"/>
      <c r="I444" s="4"/>
      <c r="J444" s="4"/>
      <c r="K444" s="4"/>
      <c r="L444" s="4"/>
      <c r="M444" s="4"/>
      <c r="N444" s="126"/>
      <c r="O444" s="7"/>
      <c r="P444" s="3"/>
      <c r="Q444" s="3"/>
      <c r="R444" s="1"/>
    </row>
    <row r="445" spans="1:18" ht="15.75" customHeight="1" x14ac:dyDescent="0.2">
      <c r="A445" s="2"/>
      <c r="B445" s="9"/>
      <c r="C445" s="3"/>
      <c r="D445" s="3"/>
      <c r="E445" s="3"/>
      <c r="F445" s="3"/>
      <c r="G445" s="3"/>
      <c r="H445" s="3"/>
      <c r="I445" s="4"/>
      <c r="J445" s="4"/>
      <c r="K445" s="4"/>
      <c r="L445" s="4"/>
      <c r="M445" s="4"/>
      <c r="N445" s="126"/>
      <c r="O445" s="7"/>
      <c r="P445" s="3"/>
      <c r="Q445" s="3"/>
      <c r="R445" s="1"/>
    </row>
    <row r="446" spans="1:18" ht="15.75" customHeight="1" x14ac:dyDescent="0.2">
      <c r="A446" s="2"/>
      <c r="B446" s="9"/>
      <c r="C446" s="3"/>
      <c r="D446" s="3"/>
      <c r="E446" s="3"/>
      <c r="F446" s="3"/>
      <c r="G446" s="3"/>
      <c r="H446" s="3"/>
      <c r="I446" s="4"/>
      <c r="J446" s="4"/>
      <c r="K446" s="4"/>
      <c r="L446" s="4"/>
      <c r="M446" s="4"/>
      <c r="N446" s="126"/>
      <c r="O446" s="7"/>
      <c r="P446" s="3"/>
      <c r="Q446" s="3"/>
      <c r="R446" s="1"/>
    </row>
    <row r="447" spans="1:18" ht="15.75" customHeight="1" x14ac:dyDescent="0.2">
      <c r="A447" s="2"/>
      <c r="B447" s="9"/>
      <c r="C447" s="3"/>
      <c r="D447" s="3"/>
      <c r="E447" s="3"/>
      <c r="F447" s="3"/>
      <c r="G447" s="3"/>
      <c r="H447" s="3"/>
      <c r="I447" s="4"/>
      <c r="J447" s="4"/>
      <c r="K447" s="4"/>
      <c r="L447" s="4"/>
      <c r="M447" s="4"/>
      <c r="N447" s="126"/>
      <c r="O447" s="7"/>
      <c r="P447" s="3"/>
      <c r="Q447" s="3"/>
      <c r="R447" s="1"/>
    </row>
    <row r="448" spans="1:18" ht="15.75" customHeight="1" x14ac:dyDescent="0.2">
      <c r="A448" s="2"/>
      <c r="B448" s="9"/>
      <c r="C448" s="3"/>
      <c r="D448" s="3"/>
      <c r="E448" s="3"/>
      <c r="F448" s="3"/>
      <c r="G448" s="3"/>
      <c r="H448" s="3"/>
      <c r="I448" s="4"/>
      <c r="J448" s="4"/>
      <c r="K448" s="4"/>
      <c r="L448" s="4"/>
      <c r="M448" s="4"/>
      <c r="N448" s="126"/>
      <c r="O448" s="7"/>
      <c r="P448" s="3"/>
      <c r="Q448" s="3"/>
      <c r="R448" s="1"/>
    </row>
    <row r="449" spans="1:18" ht="15.75" customHeight="1" x14ac:dyDescent="0.2">
      <c r="A449" s="2"/>
      <c r="B449" s="9"/>
      <c r="C449" s="3"/>
      <c r="D449" s="3"/>
      <c r="E449" s="3"/>
      <c r="F449" s="3"/>
      <c r="G449" s="3"/>
      <c r="H449" s="3"/>
      <c r="I449" s="4"/>
      <c r="J449" s="4"/>
      <c r="K449" s="4"/>
      <c r="L449" s="4"/>
      <c r="M449" s="4"/>
      <c r="N449" s="126"/>
      <c r="O449" s="7"/>
      <c r="P449" s="3"/>
      <c r="Q449" s="3"/>
      <c r="R449" s="1"/>
    </row>
    <row r="450" spans="1:18" ht="15.75" customHeight="1" x14ac:dyDescent="0.2">
      <c r="A450" s="2"/>
      <c r="B450" s="9"/>
      <c r="C450" s="3"/>
      <c r="D450" s="3"/>
      <c r="E450" s="3"/>
      <c r="F450" s="3"/>
      <c r="G450" s="3"/>
      <c r="H450" s="3"/>
      <c r="I450" s="4"/>
      <c r="J450" s="4"/>
      <c r="K450" s="4"/>
      <c r="L450" s="4"/>
      <c r="M450" s="4"/>
      <c r="N450" s="126"/>
      <c r="O450" s="7"/>
      <c r="P450" s="3"/>
      <c r="Q450" s="3"/>
      <c r="R450" s="1"/>
    </row>
    <row r="451" spans="1:18" ht="15.75" customHeight="1" x14ac:dyDescent="0.2">
      <c r="A451" s="2"/>
      <c r="B451" s="9"/>
      <c r="C451" s="3"/>
      <c r="D451" s="3"/>
      <c r="E451" s="3"/>
      <c r="F451" s="3"/>
      <c r="G451" s="3"/>
      <c r="H451" s="3"/>
      <c r="I451" s="4"/>
      <c r="J451" s="4"/>
      <c r="K451" s="4"/>
      <c r="L451" s="4"/>
      <c r="M451" s="4"/>
      <c r="N451" s="126"/>
      <c r="O451" s="7"/>
      <c r="P451" s="3"/>
      <c r="Q451" s="3"/>
      <c r="R451" s="1"/>
    </row>
    <row r="452" spans="1:18" ht="15.75" customHeight="1" x14ac:dyDescent="0.2">
      <c r="A452" s="2"/>
      <c r="B452" s="9"/>
      <c r="C452" s="3"/>
      <c r="D452" s="3"/>
      <c r="E452" s="3"/>
      <c r="F452" s="3"/>
      <c r="G452" s="3"/>
      <c r="H452" s="3"/>
      <c r="I452" s="4"/>
      <c r="J452" s="4"/>
      <c r="K452" s="4"/>
      <c r="L452" s="4"/>
      <c r="M452" s="4"/>
      <c r="N452" s="126"/>
      <c r="O452" s="7"/>
      <c r="P452" s="3"/>
      <c r="Q452" s="3"/>
      <c r="R452" s="1"/>
    </row>
    <row r="453" spans="1:18" ht="15.75" customHeight="1" x14ac:dyDescent="0.2">
      <c r="A453" s="2"/>
      <c r="B453" s="9"/>
      <c r="C453" s="3"/>
      <c r="D453" s="3"/>
      <c r="E453" s="3"/>
      <c r="F453" s="3"/>
      <c r="G453" s="3"/>
      <c r="H453" s="3"/>
      <c r="I453" s="4"/>
      <c r="J453" s="4"/>
      <c r="K453" s="4"/>
      <c r="L453" s="4"/>
      <c r="M453" s="4"/>
      <c r="N453" s="126"/>
      <c r="O453" s="7"/>
      <c r="P453" s="3"/>
      <c r="Q453" s="3"/>
      <c r="R453" s="1"/>
    </row>
    <row r="454" spans="1:18" ht="15.75" customHeight="1" x14ac:dyDescent="0.2">
      <c r="A454" s="2"/>
      <c r="B454" s="9"/>
      <c r="C454" s="3"/>
      <c r="D454" s="3"/>
      <c r="E454" s="3"/>
      <c r="F454" s="3"/>
      <c r="G454" s="3"/>
      <c r="H454" s="3"/>
      <c r="I454" s="4"/>
      <c r="J454" s="4"/>
      <c r="K454" s="4"/>
      <c r="L454" s="4"/>
      <c r="M454" s="4"/>
      <c r="N454" s="126"/>
      <c r="O454" s="7"/>
      <c r="P454" s="3"/>
      <c r="Q454" s="3"/>
      <c r="R454" s="1"/>
    </row>
    <row r="455" spans="1:18" ht="15.75" customHeight="1" x14ac:dyDescent="0.2">
      <c r="A455" s="2"/>
      <c r="B455" s="9"/>
      <c r="C455" s="3"/>
      <c r="D455" s="3"/>
      <c r="E455" s="3"/>
      <c r="F455" s="3"/>
      <c r="G455" s="3"/>
      <c r="H455" s="3"/>
      <c r="I455" s="4"/>
      <c r="J455" s="4"/>
      <c r="K455" s="4"/>
      <c r="L455" s="4"/>
      <c r="M455" s="4"/>
      <c r="N455" s="126"/>
      <c r="O455" s="7"/>
      <c r="P455" s="3"/>
      <c r="Q455" s="3"/>
      <c r="R455" s="1"/>
    </row>
    <row r="456" spans="1:18" ht="15.75" customHeight="1" x14ac:dyDescent="0.2">
      <c r="A456" s="2"/>
      <c r="B456" s="9"/>
      <c r="C456" s="3"/>
      <c r="D456" s="3"/>
      <c r="E456" s="3"/>
      <c r="F456" s="3"/>
      <c r="G456" s="3"/>
      <c r="H456" s="3"/>
      <c r="I456" s="4"/>
      <c r="J456" s="4"/>
      <c r="K456" s="4"/>
      <c r="L456" s="4"/>
      <c r="M456" s="4"/>
      <c r="N456" s="126"/>
      <c r="O456" s="7"/>
      <c r="P456" s="3"/>
      <c r="Q456" s="3"/>
      <c r="R456" s="1"/>
    </row>
    <row r="457" spans="1:18" ht="15.75" customHeight="1" x14ac:dyDescent="0.2">
      <c r="A457" s="2"/>
      <c r="B457" s="9"/>
      <c r="C457" s="3"/>
      <c r="D457" s="3"/>
      <c r="E457" s="3"/>
      <c r="F457" s="3"/>
      <c r="G457" s="3"/>
      <c r="H457" s="3"/>
      <c r="I457" s="4"/>
      <c r="J457" s="4"/>
      <c r="K457" s="4"/>
      <c r="L457" s="4"/>
      <c r="M457" s="4"/>
      <c r="N457" s="126"/>
      <c r="O457" s="7"/>
      <c r="P457" s="3"/>
      <c r="Q457" s="3"/>
      <c r="R457" s="1"/>
    </row>
    <row r="458" spans="1:18" ht="15.75" customHeight="1" x14ac:dyDescent="0.2">
      <c r="A458" s="2"/>
      <c r="B458" s="9"/>
      <c r="C458" s="3"/>
      <c r="D458" s="3"/>
      <c r="E458" s="3"/>
      <c r="F458" s="3"/>
      <c r="G458" s="3"/>
      <c r="H458" s="3"/>
      <c r="I458" s="4"/>
      <c r="J458" s="4"/>
      <c r="K458" s="4"/>
      <c r="L458" s="4"/>
      <c r="M458" s="4"/>
      <c r="N458" s="126"/>
      <c r="O458" s="7"/>
      <c r="P458" s="3"/>
      <c r="Q458" s="3"/>
      <c r="R458" s="1"/>
    </row>
    <row r="459" spans="1:18" ht="15.75" customHeight="1" x14ac:dyDescent="0.2">
      <c r="A459" s="2"/>
      <c r="B459" s="9"/>
      <c r="C459" s="3"/>
      <c r="D459" s="3"/>
      <c r="E459" s="3"/>
      <c r="F459" s="3"/>
      <c r="G459" s="3"/>
      <c r="H459" s="3"/>
      <c r="I459" s="4"/>
      <c r="J459" s="4"/>
      <c r="K459" s="4"/>
      <c r="L459" s="4"/>
      <c r="M459" s="4"/>
      <c r="N459" s="126"/>
      <c r="O459" s="7"/>
      <c r="P459" s="3"/>
      <c r="Q459" s="3"/>
      <c r="R459" s="1"/>
    </row>
    <row r="460" spans="1:18" ht="15.75" customHeight="1" x14ac:dyDescent="0.2">
      <c r="A460" s="2"/>
      <c r="B460" s="9"/>
      <c r="C460" s="3"/>
      <c r="D460" s="3"/>
      <c r="E460" s="3"/>
      <c r="F460" s="3"/>
      <c r="G460" s="3"/>
      <c r="H460" s="3"/>
      <c r="I460" s="4"/>
      <c r="J460" s="4"/>
      <c r="K460" s="4"/>
      <c r="L460" s="4"/>
      <c r="M460" s="4"/>
      <c r="N460" s="126"/>
      <c r="O460" s="7"/>
      <c r="P460" s="3"/>
      <c r="Q460" s="3"/>
      <c r="R460" s="1"/>
    </row>
    <row r="461" spans="1:18" ht="15.75" customHeight="1" x14ac:dyDescent="0.2">
      <c r="A461" s="2"/>
      <c r="B461" s="9"/>
      <c r="C461" s="3"/>
      <c r="D461" s="3"/>
      <c r="E461" s="3"/>
      <c r="F461" s="3"/>
      <c r="G461" s="3"/>
      <c r="H461" s="3"/>
      <c r="I461" s="4"/>
      <c r="J461" s="4"/>
      <c r="K461" s="4"/>
      <c r="L461" s="4"/>
      <c r="M461" s="4"/>
      <c r="N461" s="126"/>
      <c r="O461" s="7"/>
      <c r="P461" s="3"/>
      <c r="Q461" s="3"/>
      <c r="R461" s="1"/>
    </row>
    <row r="462" spans="1:18" ht="15.75" customHeight="1" x14ac:dyDescent="0.2">
      <c r="A462" s="2"/>
      <c r="B462" s="9"/>
      <c r="C462" s="3"/>
      <c r="D462" s="3"/>
      <c r="E462" s="3"/>
      <c r="F462" s="3"/>
      <c r="G462" s="3"/>
      <c r="H462" s="3"/>
      <c r="I462" s="4"/>
      <c r="J462" s="4"/>
      <c r="K462" s="4"/>
      <c r="L462" s="4"/>
      <c r="M462" s="4"/>
      <c r="N462" s="126"/>
      <c r="O462" s="7"/>
      <c r="P462" s="3"/>
      <c r="Q462" s="3"/>
      <c r="R462" s="1"/>
    </row>
    <row r="463" spans="1:18" ht="15.75" customHeight="1" x14ac:dyDescent="0.2">
      <c r="A463" s="2"/>
      <c r="B463" s="9"/>
      <c r="C463" s="3"/>
      <c r="D463" s="3"/>
      <c r="E463" s="3"/>
      <c r="F463" s="3"/>
      <c r="G463" s="3"/>
      <c r="H463" s="3"/>
      <c r="I463" s="4"/>
      <c r="J463" s="4"/>
      <c r="K463" s="4"/>
      <c r="L463" s="4"/>
      <c r="M463" s="4"/>
      <c r="N463" s="126"/>
      <c r="O463" s="7"/>
      <c r="P463" s="3"/>
      <c r="Q463" s="3"/>
      <c r="R463" s="1"/>
    </row>
    <row r="464" spans="1:18" ht="15.75" customHeight="1" x14ac:dyDescent="0.2">
      <c r="A464" s="2"/>
      <c r="B464" s="9"/>
      <c r="C464" s="3"/>
      <c r="D464" s="3"/>
      <c r="E464" s="3"/>
      <c r="F464" s="3"/>
      <c r="G464" s="3"/>
      <c r="H464" s="3"/>
      <c r="I464" s="4"/>
      <c r="J464" s="4"/>
      <c r="K464" s="4"/>
      <c r="L464" s="4"/>
      <c r="M464" s="4"/>
      <c r="N464" s="126"/>
      <c r="O464" s="7"/>
      <c r="P464" s="3"/>
      <c r="Q464" s="3"/>
      <c r="R464" s="1"/>
    </row>
    <row r="465" spans="1:18" ht="15.75" customHeight="1" x14ac:dyDescent="0.2">
      <c r="A465" s="2"/>
      <c r="B465" s="9"/>
      <c r="C465" s="3"/>
      <c r="D465" s="3"/>
      <c r="E465" s="3"/>
      <c r="F465" s="3"/>
      <c r="G465" s="3"/>
      <c r="H465" s="3"/>
      <c r="I465" s="4"/>
      <c r="J465" s="4"/>
      <c r="K465" s="4"/>
      <c r="L465" s="4"/>
      <c r="M465" s="4"/>
      <c r="N465" s="126"/>
      <c r="O465" s="7"/>
      <c r="P465" s="3"/>
      <c r="Q465" s="3"/>
      <c r="R465" s="1"/>
    </row>
    <row r="466" spans="1:18" ht="15.75" customHeight="1" x14ac:dyDescent="0.2">
      <c r="A466" s="2"/>
      <c r="B466" s="9"/>
      <c r="C466" s="3"/>
      <c r="D466" s="3"/>
      <c r="E466" s="3"/>
      <c r="F466" s="3"/>
      <c r="G466" s="3"/>
      <c r="H466" s="3"/>
      <c r="I466" s="4"/>
      <c r="J466" s="4"/>
      <c r="K466" s="4"/>
      <c r="L466" s="4"/>
      <c r="M466" s="4"/>
      <c r="N466" s="126"/>
      <c r="O466" s="7"/>
      <c r="P466" s="3"/>
      <c r="Q466" s="3"/>
      <c r="R466" s="1"/>
    </row>
    <row r="467" spans="1:18" ht="15.75" customHeight="1" x14ac:dyDescent="0.2">
      <c r="A467" s="2"/>
      <c r="B467" s="9"/>
      <c r="C467" s="3"/>
      <c r="D467" s="3"/>
      <c r="E467" s="3"/>
      <c r="F467" s="3"/>
      <c r="G467" s="3"/>
      <c r="H467" s="3"/>
      <c r="I467" s="4"/>
      <c r="J467" s="4"/>
      <c r="K467" s="4"/>
      <c r="L467" s="4"/>
      <c r="M467" s="4"/>
      <c r="N467" s="126"/>
      <c r="O467" s="7"/>
      <c r="P467" s="3"/>
      <c r="Q467" s="3"/>
      <c r="R467" s="1"/>
    </row>
    <row r="468" spans="1:18" ht="15.75" customHeight="1" x14ac:dyDescent="0.2">
      <c r="A468" s="2"/>
      <c r="B468" s="9"/>
      <c r="C468" s="3"/>
      <c r="D468" s="3"/>
      <c r="E468" s="3"/>
      <c r="F468" s="3"/>
      <c r="G468" s="3"/>
      <c r="H468" s="3"/>
      <c r="I468" s="4"/>
      <c r="J468" s="4"/>
      <c r="K468" s="4"/>
      <c r="L468" s="4"/>
      <c r="M468" s="4"/>
      <c r="N468" s="126"/>
      <c r="O468" s="7"/>
      <c r="P468" s="3"/>
      <c r="Q468" s="3"/>
      <c r="R468" s="1"/>
    </row>
    <row r="469" spans="1:18" ht="15.75" customHeight="1" x14ac:dyDescent="0.2">
      <c r="A469" s="2"/>
      <c r="B469" s="9"/>
      <c r="C469" s="3"/>
      <c r="D469" s="3"/>
      <c r="E469" s="3"/>
      <c r="F469" s="3"/>
      <c r="G469" s="3"/>
      <c r="H469" s="3"/>
      <c r="I469" s="4"/>
      <c r="J469" s="4"/>
      <c r="K469" s="4"/>
      <c r="L469" s="4"/>
      <c r="M469" s="4"/>
      <c r="N469" s="126"/>
      <c r="O469" s="7"/>
      <c r="P469" s="3"/>
      <c r="Q469" s="3"/>
      <c r="R469" s="1"/>
    </row>
    <row r="470" spans="1:18" ht="15.75" customHeight="1" x14ac:dyDescent="0.2">
      <c r="A470" s="2"/>
      <c r="B470" s="9"/>
      <c r="C470" s="3"/>
      <c r="D470" s="3"/>
      <c r="E470" s="3"/>
      <c r="F470" s="3"/>
      <c r="G470" s="3"/>
      <c r="H470" s="3"/>
      <c r="I470" s="4"/>
      <c r="J470" s="4"/>
      <c r="K470" s="4"/>
      <c r="L470" s="4"/>
      <c r="M470" s="4"/>
      <c r="N470" s="126"/>
      <c r="O470" s="7"/>
      <c r="P470" s="3"/>
      <c r="Q470" s="3"/>
      <c r="R470" s="1"/>
    </row>
    <row r="471" spans="1:18" ht="15.75" customHeight="1" x14ac:dyDescent="0.2">
      <c r="A471" s="2"/>
      <c r="B471" s="9"/>
      <c r="C471" s="3"/>
      <c r="D471" s="3"/>
      <c r="E471" s="3"/>
      <c r="F471" s="3"/>
      <c r="G471" s="3"/>
      <c r="H471" s="3"/>
      <c r="I471" s="4"/>
      <c r="J471" s="4"/>
      <c r="K471" s="4"/>
      <c r="L471" s="4"/>
      <c r="M471" s="4"/>
      <c r="N471" s="126"/>
      <c r="O471" s="7"/>
      <c r="P471" s="3"/>
      <c r="Q471" s="3"/>
      <c r="R471" s="1"/>
    </row>
    <row r="472" spans="1:18" ht="15.75" customHeight="1" x14ac:dyDescent="0.2">
      <c r="A472" s="2"/>
      <c r="B472" s="9"/>
      <c r="C472" s="3"/>
      <c r="D472" s="3"/>
      <c r="E472" s="3"/>
      <c r="F472" s="3"/>
      <c r="G472" s="3"/>
      <c r="H472" s="3"/>
      <c r="I472" s="4"/>
      <c r="J472" s="4"/>
      <c r="K472" s="4"/>
      <c r="L472" s="4"/>
      <c r="M472" s="4"/>
      <c r="N472" s="126"/>
      <c r="O472" s="7"/>
      <c r="P472" s="3"/>
      <c r="Q472" s="3"/>
      <c r="R472" s="1"/>
    </row>
    <row r="473" spans="1:18" ht="15.75" customHeight="1" x14ac:dyDescent="0.2">
      <c r="A473" s="2"/>
      <c r="B473" s="9"/>
      <c r="C473" s="3"/>
      <c r="D473" s="3"/>
      <c r="E473" s="3"/>
      <c r="F473" s="3"/>
      <c r="G473" s="3"/>
      <c r="H473" s="3"/>
      <c r="I473" s="4"/>
      <c r="J473" s="4"/>
      <c r="K473" s="4"/>
      <c r="L473" s="4"/>
      <c r="M473" s="4"/>
      <c r="N473" s="126"/>
      <c r="O473" s="7"/>
      <c r="P473" s="3"/>
      <c r="Q473" s="3"/>
      <c r="R473" s="1"/>
    </row>
    <row r="474" spans="1:18" ht="15.75" customHeight="1" x14ac:dyDescent="0.2">
      <c r="A474" s="2"/>
      <c r="B474" s="9"/>
      <c r="C474" s="3"/>
      <c r="D474" s="3"/>
      <c r="E474" s="3"/>
      <c r="F474" s="3"/>
      <c r="G474" s="3"/>
      <c r="H474" s="3"/>
      <c r="I474" s="4"/>
      <c r="J474" s="4"/>
      <c r="K474" s="4"/>
      <c r="L474" s="4"/>
      <c r="M474" s="4"/>
      <c r="N474" s="126"/>
      <c r="O474" s="7"/>
      <c r="P474" s="3"/>
      <c r="Q474" s="3"/>
      <c r="R474" s="1"/>
    </row>
    <row r="475" spans="1:18" ht="15.75" customHeight="1" x14ac:dyDescent="0.2">
      <c r="A475" s="2"/>
      <c r="B475" s="9"/>
      <c r="C475" s="3"/>
      <c r="D475" s="3"/>
      <c r="E475" s="3"/>
      <c r="F475" s="3"/>
      <c r="G475" s="3"/>
      <c r="H475" s="3"/>
      <c r="I475" s="4"/>
      <c r="J475" s="4"/>
      <c r="K475" s="4"/>
      <c r="L475" s="4"/>
      <c r="M475" s="4"/>
      <c r="N475" s="126"/>
      <c r="O475" s="7"/>
      <c r="P475" s="3"/>
      <c r="Q475" s="3"/>
      <c r="R475" s="1"/>
    </row>
    <row r="476" spans="1:18" ht="15.75" customHeight="1" x14ac:dyDescent="0.2">
      <c r="A476" s="2"/>
      <c r="B476" s="9"/>
      <c r="C476" s="3"/>
      <c r="D476" s="3"/>
      <c r="E476" s="3"/>
      <c r="F476" s="3"/>
      <c r="G476" s="3"/>
      <c r="H476" s="3"/>
      <c r="I476" s="4"/>
      <c r="J476" s="4"/>
      <c r="K476" s="4"/>
      <c r="L476" s="4"/>
      <c r="M476" s="4"/>
      <c r="N476" s="126"/>
      <c r="O476" s="7"/>
      <c r="P476" s="3"/>
      <c r="Q476" s="3"/>
      <c r="R476" s="1"/>
    </row>
    <row r="477" spans="1:18" ht="15.75" customHeight="1" x14ac:dyDescent="0.2">
      <c r="A477" s="2"/>
      <c r="B477" s="9"/>
      <c r="C477" s="3"/>
      <c r="D477" s="3"/>
      <c r="E477" s="3"/>
      <c r="F477" s="3"/>
      <c r="G477" s="3"/>
      <c r="H477" s="3"/>
      <c r="I477" s="4"/>
      <c r="J477" s="4"/>
      <c r="K477" s="4"/>
      <c r="L477" s="4"/>
      <c r="M477" s="4"/>
      <c r="N477" s="126"/>
      <c r="O477" s="7"/>
      <c r="P477" s="3"/>
      <c r="Q477" s="3"/>
      <c r="R477" s="1"/>
    </row>
    <row r="478" spans="1:18" ht="15.75" customHeight="1" x14ac:dyDescent="0.2">
      <c r="A478" s="2"/>
      <c r="B478" s="9"/>
      <c r="C478" s="3"/>
      <c r="D478" s="3"/>
      <c r="E478" s="3"/>
      <c r="F478" s="3"/>
      <c r="G478" s="3"/>
      <c r="H478" s="3"/>
      <c r="I478" s="4"/>
      <c r="J478" s="4"/>
      <c r="K478" s="4"/>
      <c r="L478" s="4"/>
      <c r="M478" s="4"/>
      <c r="N478" s="126"/>
      <c r="O478" s="7"/>
      <c r="P478" s="3"/>
      <c r="Q478" s="3"/>
      <c r="R478" s="1"/>
    </row>
    <row r="479" spans="1:18" ht="15.75" customHeight="1" x14ac:dyDescent="0.2">
      <c r="A479" s="2"/>
      <c r="B479" s="9"/>
      <c r="C479" s="3"/>
      <c r="D479" s="3"/>
      <c r="E479" s="3"/>
      <c r="F479" s="3"/>
      <c r="G479" s="3"/>
      <c r="H479" s="3"/>
      <c r="I479" s="4"/>
      <c r="J479" s="4"/>
      <c r="K479" s="4"/>
      <c r="L479" s="4"/>
      <c r="M479" s="4"/>
      <c r="N479" s="126"/>
      <c r="O479" s="7"/>
      <c r="P479" s="3"/>
      <c r="Q479" s="3"/>
      <c r="R479" s="1"/>
    </row>
    <row r="480" spans="1:18" ht="15.75" customHeight="1" x14ac:dyDescent="0.2">
      <c r="A480" s="2"/>
      <c r="B480" s="9"/>
      <c r="C480" s="3"/>
      <c r="D480" s="3"/>
      <c r="E480" s="3"/>
      <c r="F480" s="3"/>
      <c r="G480" s="3"/>
      <c r="H480" s="3"/>
      <c r="I480" s="4"/>
      <c r="J480" s="4"/>
      <c r="K480" s="4"/>
      <c r="L480" s="4"/>
      <c r="M480" s="4"/>
      <c r="N480" s="126"/>
      <c r="O480" s="7"/>
      <c r="P480" s="3"/>
      <c r="Q480" s="3"/>
      <c r="R480" s="1"/>
    </row>
    <row r="481" spans="1:18" ht="15.75" customHeight="1" x14ac:dyDescent="0.2">
      <c r="A481" s="2"/>
      <c r="B481" s="9"/>
      <c r="C481" s="3"/>
      <c r="D481" s="3"/>
      <c r="E481" s="3"/>
      <c r="F481" s="3"/>
      <c r="G481" s="3"/>
      <c r="H481" s="3"/>
      <c r="I481" s="4"/>
      <c r="J481" s="4"/>
      <c r="K481" s="4"/>
      <c r="L481" s="4"/>
      <c r="M481" s="4"/>
      <c r="N481" s="126"/>
      <c r="O481" s="7"/>
      <c r="P481" s="3"/>
      <c r="Q481" s="3"/>
      <c r="R481" s="1"/>
    </row>
    <row r="482" spans="1:18" ht="15.75" customHeight="1" x14ac:dyDescent="0.2">
      <c r="A482" s="2"/>
      <c r="B482" s="9"/>
      <c r="C482" s="3"/>
      <c r="D482" s="3"/>
      <c r="E482" s="3"/>
      <c r="F482" s="3"/>
      <c r="G482" s="3"/>
      <c r="H482" s="3"/>
      <c r="I482" s="4"/>
      <c r="J482" s="4"/>
      <c r="K482" s="4"/>
      <c r="L482" s="4"/>
      <c r="M482" s="4"/>
      <c r="N482" s="126"/>
      <c r="O482" s="7"/>
      <c r="P482" s="3"/>
      <c r="Q482" s="3"/>
      <c r="R482" s="1"/>
    </row>
    <row r="483" spans="1:18" ht="15.75" customHeight="1" x14ac:dyDescent="0.2">
      <c r="A483" s="2"/>
      <c r="B483" s="9"/>
      <c r="C483" s="3"/>
      <c r="D483" s="3"/>
      <c r="E483" s="3"/>
      <c r="F483" s="3"/>
      <c r="G483" s="3"/>
      <c r="H483" s="3"/>
      <c r="I483" s="4"/>
      <c r="J483" s="4"/>
      <c r="K483" s="4"/>
      <c r="L483" s="4"/>
      <c r="M483" s="4"/>
      <c r="N483" s="126"/>
      <c r="O483" s="7"/>
      <c r="P483" s="3"/>
      <c r="Q483" s="3"/>
      <c r="R483" s="1"/>
    </row>
    <row r="484" spans="1:18" ht="15.75" customHeight="1" x14ac:dyDescent="0.2">
      <c r="A484" s="2"/>
      <c r="B484" s="9"/>
      <c r="C484" s="3"/>
      <c r="D484" s="3"/>
      <c r="E484" s="3"/>
      <c r="F484" s="3"/>
      <c r="G484" s="3"/>
      <c r="H484" s="3"/>
      <c r="I484" s="4"/>
      <c r="J484" s="4"/>
      <c r="K484" s="4"/>
      <c r="L484" s="4"/>
      <c r="M484" s="4"/>
      <c r="N484" s="126"/>
      <c r="O484" s="7"/>
      <c r="P484" s="3"/>
      <c r="Q484" s="3"/>
      <c r="R484" s="1"/>
    </row>
    <row r="485" spans="1:18" ht="15.75" customHeight="1" x14ac:dyDescent="0.2">
      <c r="A485" s="2"/>
      <c r="B485" s="9"/>
      <c r="C485" s="3"/>
      <c r="D485" s="3"/>
      <c r="E485" s="3"/>
      <c r="F485" s="3"/>
      <c r="G485" s="3"/>
      <c r="H485" s="3"/>
      <c r="I485" s="4"/>
      <c r="J485" s="4"/>
      <c r="K485" s="4"/>
      <c r="L485" s="4"/>
      <c r="M485" s="4"/>
      <c r="N485" s="126"/>
      <c r="O485" s="7"/>
      <c r="P485" s="3"/>
      <c r="Q485" s="3"/>
      <c r="R485" s="1"/>
    </row>
    <row r="486" spans="1:18" ht="15.75" customHeight="1" x14ac:dyDescent="0.2">
      <c r="A486" s="2"/>
      <c r="B486" s="9"/>
      <c r="C486" s="3"/>
      <c r="D486" s="3"/>
      <c r="E486" s="3"/>
      <c r="F486" s="3"/>
      <c r="G486" s="3"/>
      <c r="H486" s="3"/>
      <c r="I486" s="4"/>
      <c r="J486" s="4"/>
      <c r="K486" s="4"/>
      <c r="L486" s="4"/>
      <c r="M486" s="4"/>
      <c r="N486" s="126"/>
      <c r="O486" s="7"/>
      <c r="P486" s="3"/>
      <c r="Q486" s="3"/>
      <c r="R486" s="1"/>
    </row>
    <row r="487" spans="1:18" ht="15.75" customHeight="1" x14ac:dyDescent="0.2">
      <c r="A487" s="2"/>
      <c r="B487" s="9"/>
      <c r="C487" s="3"/>
      <c r="D487" s="3"/>
      <c r="E487" s="3"/>
      <c r="F487" s="3"/>
      <c r="G487" s="3"/>
      <c r="H487" s="3"/>
      <c r="I487" s="4"/>
      <c r="J487" s="4"/>
      <c r="K487" s="4"/>
      <c r="L487" s="4"/>
      <c r="M487" s="4"/>
      <c r="N487" s="126"/>
      <c r="O487" s="7"/>
      <c r="P487" s="3"/>
      <c r="Q487" s="3"/>
      <c r="R487" s="1"/>
    </row>
    <row r="488" spans="1:18" ht="15.75" customHeight="1" x14ac:dyDescent="0.2">
      <c r="A488" s="2"/>
      <c r="B488" s="9"/>
      <c r="C488" s="3"/>
      <c r="D488" s="3"/>
      <c r="E488" s="3"/>
      <c r="F488" s="3"/>
      <c r="G488" s="3"/>
      <c r="H488" s="3"/>
      <c r="I488" s="4"/>
      <c r="J488" s="4"/>
      <c r="K488" s="4"/>
      <c r="L488" s="4"/>
      <c r="M488" s="4"/>
      <c r="N488" s="126"/>
      <c r="O488" s="7"/>
      <c r="P488" s="3"/>
      <c r="Q488" s="3"/>
      <c r="R488" s="1"/>
    </row>
    <row r="489" spans="1:18" ht="15.75" customHeight="1" x14ac:dyDescent="0.2">
      <c r="A489" s="2"/>
      <c r="B489" s="9"/>
      <c r="C489" s="3"/>
      <c r="D489" s="3"/>
      <c r="E489" s="3"/>
      <c r="F489" s="3"/>
      <c r="G489" s="3"/>
      <c r="H489" s="3"/>
      <c r="I489" s="4"/>
      <c r="J489" s="4"/>
      <c r="K489" s="4"/>
      <c r="L489" s="4"/>
      <c r="M489" s="4"/>
      <c r="N489" s="126"/>
      <c r="O489" s="7"/>
      <c r="P489" s="3"/>
      <c r="Q489" s="3"/>
      <c r="R489" s="1"/>
    </row>
    <row r="490" spans="1:18" ht="15.75" customHeight="1" x14ac:dyDescent="0.2">
      <c r="A490" s="2"/>
      <c r="B490" s="9"/>
      <c r="C490" s="3"/>
      <c r="D490" s="3"/>
      <c r="E490" s="3"/>
      <c r="F490" s="3"/>
      <c r="G490" s="3"/>
      <c r="H490" s="3"/>
      <c r="I490" s="4"/>
      <c r="J490" s="4"/>
      <c r="K490" s="4"/>
      <c r="L490" s="4"/>
      <c r="M490" s="4"/>
      <c r="N490" s="126"/>
      <c r="O490" s="7"/>
      <c r="P490" s="3"/>
      <c r="Q490" s="3"/>
      <c r="R490" s="1"/>
    </row>
    <row r="491" spans="1:18" ht="15.75" customHeight="1" x14ac:dyDescent="0.2">
      <c r="A491" s="2"/>
      <c r="B491" s="9"/>
      <c r="C491" s="3"/>
      <c r="D491" s="3"/>
      <c r="E491" s="3"/>
      <c r="F491" s="3"/>
      <c r="G491" s="3"/>
      <c r="H491" s="3"/>
      <c r="I491" s="4"/>
      <c r="J491" s="4"/>
      <c r="K491" s="4"/>
      <c r="L491" s="4"/>
      <c r="M491" s="4"/>
      <c r="N491" s="126"/>
      <c r="O491" s="7"/>
      <c r="P491" s="3"/>
      <c r="Q491" s="3"/>
      <c r="R491" s="1"/>
    </row>
    <row r="492" spans="1:18" ht="15.75" customHeight="1" x14ac:dyDescent="0.2">
      <c r="A492" s="2"/>
      <c r="B492" s="9"/>
      <c r="C492" s="3"/>
      <c r="D492" s="3"/>
      <c r="E492" s="3"/>
      <c r="F492" s="3"/>
      <c r="G492" s="3"/>
      <c r="H492" s="3"/>
      <c r="I492" s="4"/>
      <c r="J492" s="4"/>
      <c r="K492" s="4"/>
      <c r="L492" s="4"/>
      <c r="M492" s="4"/>
      <c r="N492" s="126"/>
      <c r="O492" s="7"/>
      <c r="P492" s="3"/>
      <c r="Q492" s="3"/>
      <c r="R492" s="1"/>
    </row>
    <row r="493" spans="1:18" ht="15.75" customHeight="1" x14ac:dyDescent="0.2">
      <c r="A493" s="2"/>
      <c r="B493" s="9"/>
      <c r="C493" s="3"/>
      <c r="D493" s="3"/>
      <c r="E493" s="3"/>
      <c r="F493" s="3"/>
      <c r="G493" s="3"/>
      <c r="H493" s="3"/>
      <c r="I493" s="4"/>
      <c r="J493" s="4"/>
      <c r="K493" s="4"/>
      <c r="L493" s="4"/>
      <c r="M493" s="4"/>
      <c r="N493" s="126"/>
      <c r="O493" s="7"/>
      <c r="P493" s="3"/>
      <c r="Q493" s="3"/>
      <c r="R493" s="1"/>
    </row>
    <row r="494" spans="1:18" ht="15.75" customHeight="1" x14ac:dyDescent="0.2">
      <c r="A494" s="2"/>
      <c r="B494" s="9"/>
      <c r="C494" s="3"/>
      <c r="D494" s="3"/>
      <c r="E494" s="3"/>
      <c r="F494" s="3"/>
      <c r="G494" s="3"/>
      <c r="H494" s="3"/>
      <c r="I494" s="4"/>
      <c r="J494" s="4"/>
      <c r="K494" s="4"/>
      <c r="L494" s="4"/>
      <c r="M494" s="4"/>
      <c r="N494" s="126"/>
      <c r="O494" s="7"/>
      <c r="P494" s="3"/>
      <c r="Q494" s="3"/>
      <c r="R494" s="1"/>
    </row>
    <row r="495" spans="1:18" ht="15.75" customHeight="1" x14ac:dyDescent="0.2">
      <c r="A495" s="2"/>
      <c r="B495" s="9"/>
      <c r="C495" s="3"/>
      <c r="D495" s="3"/>
      <c r="E495" s="3"/>
      <c r="F495" s="3"/>
      <c r="G495" s="3"/>
      <c r="H495" s="3"/>
      <c r="I495" s="4"/>
      <c r="J495" s="4"/>
      <c r="K495" s="4"/>
      <c r="L495" s="4"/>
      <c r="M495" s="4"/>
      <c r="N495" s="126"/>
      <c r="O495" s="7"/>
      <c r="P495" s="3"/>
      <c r="Q495" s="3"/>
      <c r="R495" s="1"/>
    </row>
    <row r="496" spans="1:18" ht="15.75" customHeight="1" x14ac:dyDescent="0.2">
      <c r="A496" s="2"/>
      <c r="B496" s="9"/>
      <c r="C496" s="3"/>
      <c r="D496" s="3"/>
      <c r="E496" s="3"/>
      <c r="F496" s="3"/>
      <c r="G496" s="3"/>
      <c r="H496" s="3"/>
      <c r="I496" s="4"/>
      <c r="J496" s="4"/>
      <c r="K496" s="4"/>
      <c r="L496" s="4"/>
      <c r="M496" s="4"/>
      <c r="N496" s="126"/>
      <c r="O496" s="7"/>
      <c r="P496" s="3"/>
      <c r="Q496" s="3"/>
      <c r="R496" s="1"/>
    </row>
    <row r="497" spans="1:18" ht="15.75" customHeight="1" x14ac:dyDescent="0.2">
      <c r="A497" s="2"/>
      <c r="B497" s="9"/>
      <c r="C497" s="3"/>
      <c r="D497" s="3"/>
      <c r="E497" s="3"/>
      <c r="F497" s="3"/>
      <c r="G497" s="3"/>
      <c r="H497" s="3"/>
      <c r="I497" s="4"/>
      <c r="J497" s="4"/>
      <c r="K497" s="4"/>
      <c r="L497" s="4"/>
      <c r="M497" s="4"/>
      <c r="N497" s="126"/>
      <c r="O497" s="7"/>
      <c r="P497" s="3"/>
      <c r="Q497" s="3"/>
      <c r="R497" s="1"/>
    </row>
    <row r="498" spans="1:18" ht="15.75" customHeight="1" x14ac:dyDescent="0.2">
      <c r="A498" s="2"/>
      <c r="B498" s="9"/>
      <c r="C498" s="3"/>
      <c r="D498" s="3"/>
      <c r="E498" s="3"/>
      <c r="F498" s="3"/>
      <c r="G498" s="3"/>
      <c r="H498" s="3"/>
      <c r="I498" s="4"/>
      <c r="J498" s="4"/>
      <c r="K498" s="4"/>
      <c r="L498" s="4"/>
      <c r="M498" s="4"/>
      <c r="N498" s="126"/>
      <c r="O498" s="7"/>
      <c r="P498" s="3"/>
      <c r="Q498" s="3"/>
      <c r="R498" s="1"/>
    </row>
    <row r="499" spans="1:18" ht="15.75" customHeight="1" x14ac:dyDescent="0.2">
      <c r="A499" s="2"/>
      <c r="B499" s="9"/>
      <c r="C499" s="3"/>
      <c r="D499" s="3"/>
      <c r="E499" s="3"/>
      <c r="F499" s="3"/>
      <c r="G499" s="3"/>
      <c r="H499" s="3"/>
      <c r="I499" s="4"/>
      <c r="J499" s="4"/>
      <c r="K499" s="4"/>
      <c r="L499" s="4"/>
      <c r="M499" s="4"/>
      <c r="N499" s="126"/>
      <c r="O499" s="7"/>
      <c r="P499" s="3"/>
      <c r="Q499" s="3"/>
      <c r="R499" s="1"/>
    </row>
    <row r="500" spans="1:18" ht="15.75" customHeight="1" x14ac:dyDescent="0.2">
      <c r="A500" s="2"/>
      <c r="B500" s="9"/>
      <c r="C500" s="3"/>
      <c r="D500" s="3"/>
      <c r="E500" s="3"/>
      <c r="F500" s="3"/>
      <c r="G500" s="3"/>
      <c r="H500" s="3"/>
      <c r="I500" s="4"/>
      <c r="J500" s="4"/>
      <c r="K500" s="4"/>
      <c r="L500" s="4"/>
      <c r="M500" s="4"/>
      <c r="N500" s="126"/>
      <c r="O500" s="7"/>
      <c r="P500" s="3"/>
      <c r="Q500" s="3"/>
      <c r="R500" s="1"/>
    </row>
    <row r="501" spans="1:18" ht="15.75" customHeight="1" x14ac:dyDescent="0.2">
      <c r="A501" s="2"/>
      <c r="B501" s="9"/>
      <c r="C501" s="3"/>
      <c r="D501" s="3"/>
      <c r="E501" s="3"/>
      <c r="F501" s="3"/>
      <c r="G501" s="3"/>
      <c r="H501" s="3"/>
      <c r="I501" s="4"/>
      <c r="J501" s="4"/>
      <c r="K501" s="4"/>
      <c r="L501" s="4"/>
      <c r="M501" s="4"/>
      <c r="N501" s="126"/>
      <c r="O501" s="7"/>
      <c r="P501" s="3"/>
      <c r="Q501" s="3"/>
      <c r="R501" s="1"/>
    </row>
    <row r="502" spans="1:18" ht="15.75" customHeight="1" x14ac:dyDescent="0.2">
      <c r="A502" s="2"/>
      <c r="B502" s="9"/>
      <c r="C502" s="3"/>
      <c r="D502" s="3"/>
      <c r="E502" s="3"/>
      <c r="F502" s="3"/>
      <c r="G502" s="3"/>
      <c r="H502" s="3"/>
      <c r="I502" s="4"/>
      <c r="J502" s="4"/>
      <c r="K502" s="4"/>
      <c r="L502" s="4"/>
      <c r="M502" s="4"/>
      <c r="N502" s="126"/>
      <c r="O502" s="7"/>
      <c r="P502" s="3"/>
      <c r="Q502" s="3"/>
      <c r="R502" s="1"/>
    </row>
    <row r="503" spans="1:18" ht="15.75" customHeight="1" x14ac:dyDescent="0.2">
      <c r="A503" s="2"/>
      <c r="B503" s="9"/>
      <c r="C503" s="3"/>
      <c r="D503" s="3"/>
      <c r="E503" s="3"/>
      <c r="F503" s="3"/>
      <c r="G503" s="3"/>
      <c r="H503" s="3"/>
      <c r="I503" s="4"/>
      <c r="J503" s="4"/>
      <c r="K503" s="4"/>
      <c r="L503" s="4"/>
      <c r="M503" s="4"/>
      <c r="N503" s="126"/>
      <c r="O503" s="7"/>
      <c r="P503" s="3"/>
      <c r="Q503" s="3"/>
      <c r="R503" s="1"/>
    </row>
    <row r="504" spans="1:18" ht="15.75" customHeight="1" x14ac:dyDescent="0.2">
      <c r="A504" s="2"/>
      <c r="B504" s="9"/>
      <c r="C504" s="3"/>
      <c r="D504" s="3"/>
      <c r="E504" s="3"/>
      <c r="F504" s="3"/>
      <c r="G504" s="3"/>
      <c r="H504" s="3"/>
      <c r="I504" s="4"/>
      <c r="J504" s="4"/>
      <c r="K504" s="4"/>
      <c r="L504" s="4"/>
      <c r="M504" s="4"/>
      <c r="N504" s="126"/>
      <c r="O504" s="7"/>
      <c r="P504" s="3"/>
      <c r="Q504" s="3"/>
      <c r="R504" s="1"/>
    </row>
    <row r="505" spans="1:18" ht="15.75" customHeight="1" x14ac:dyDescent="0.2">
      <c r="A505" s="2"/>
      <c r="B505" s="9"/>
      <c r="C505" s="3"/>
      <c r="D505" s="3"/>
      <c r="E505" s="3"/>
      <c r="F505" s="3"/>
      <c r="G505" s="3"/>
      <c r="H505" s="3"/>
      <c r="I505" s="4"/>
      <c r="J505" s="4"/>
      <c r="K505" s="4"/>
      <c r="L505" s="4"/>
      <c r="M505" s="4"/>
      <c r="N505" s="126"/>
      <c r="O505" s="7"/>
      <c r="P505" s="3"/>
      <c r="Q505" s="3"/>
      <c r="R505" s="1"/>
    </row>
    <row r="506" spans="1:18" ht="15.75" customHeight="1" x14ac:dyDescent="0.2">
      <c r="A506" s="2"/>
      <c r="B506" s="9"/>
      <c r="C506" s="3"/>
      <c r="D506" s="3"/>
      <c r="E506" s="3"/>
      <c r="F506" s="3"/>
      <c r="G506" s="3"/>
      <c r="H506" s="3"/>
      <c r="I506" s="4"/>
      <c r="J506" s="4"/>
      <c r="K506" s="4"/>
      <c r="L506" s="4"/>
      <c r="M506" s="4"/>
      <c r="N506" s="126"/>
      <c r="O506" s="7"/>
      <c r="P506" s="3"/>
      <c r="Q506" s="3"/>
      <c r="R506" s="1"/>
    </row>
    <row r="507" spans="1:18" ht="15.75" customHeight="1" x14ac:dyDescent="0.2">
      <c r="A507" s="2"/>
      <c r="B507" s="9"/>
      <c r="C507" s="3"/>
      <c r="D507" s="3"/>
      <c r="E507" s="3"/>
      <c r="F507" s="3"/>
      <c r="H507" s="3"/>
      <c r="I507" s="4"/>
      <c r="J507" s="4"/>
      <c r="K507" s="4"/>
      <c r="L507" s="4"/>
      <c r="M507" s="4"/>
      <c r="N507" s="126"/>
      <c r="O507" s="7"/>
      <c r="P507" s="3"/>
      <c r="Q507" s="3"/>
      <c r="R507" s="1"/>
    </row>
    <row r="508" spans="1:18" ht="15.75" customHeight="1" x14ac:dyDescent="0.2">
      <c r="A508" s="2"/>
      <c r="B508" s="9"/>
      <c r="C508" s="3"/>
      <c r="D508" s="3"/>
      <c r="E508" s="3"/>
      <c r="F508" s="3"/>
      <c r="G508" s="3"/>
      <c r="H508" s="3"/>
      <c r="I508" s="4"/>
      <c r="J508" s="4"/>
      <c r="K508" s="4"/>
      <c r="L508" s="4"/>
      <c r="M508" s="4"/>
      <c r="N508" s="126"/>
      <c r="O508" s="7"/>
      <c r="P508" s="3"/>
      <c r="Q508" s="3"/>
      <c r="R508" s="1"/>
    </row>
    <row r="509" spans="1:18" ht="15.75" customHeight="1" x14ac:dyDescent="0.2">
      <c r="A509" s="2"/>
      <c r="B509" s="9"/>
      <c r="C509" s="3"/>
      <c r="D509" s="3"/>
      <c r="E509" s="3"/>
      <c r="F509" s="3"/>
      <c r="G509" s="3"/>
      <c r="H509" s="3"/>
      <c r="I509" s="4"/>
      <c r="J509" s="4"/>
      <c r="K509" s="4"/>
      <c r="L509" s="4"/>
      <c r="M509" s="4"/>
      <c r="N509" s="126"/>
      <c r="O509" s="7"/>
      <c r="P509" s="3"/>
      <c r="Q509" s="3"/>
      <c r="R509" s="1"/>
    </row>
    <row r="510" spans="1:18" ht="15.75" customHeight="1" x14ac:dyDescent="0.2">
      <c r="A510" s="2"/>
      <c r="B510" s="9"/>
      <c r="C510" s="3"/>
      <c r="D510" s="3"/>
      <c r="E510" s="3"/>
      <c r="F510" s="3"/>
      <c r="G510" s="3"/>
      <c r="H510" s="3"/>
      <c r="I510" s="4"/>
      <c r="J510" s="4"/>
      <c r="K510" s="4"/>
      <c r="L510" s="4"/>
      <c r="M510" s="4"/>
      <c r="N510" s="126"/>
      <c r="O510" s="7"/>
      <c r="P510" s="3"/>
      <c r="Q510" s="3"/>
      <c r="R510" s="1"/>
    </row>
    <row r="511" spans="1:18" ht="15.75" customHeight="1" x14ac:dyDescent="0.2">
      <c r="A511" s="2"/>
      <c r="B511" s="9"/>
      <c r="C511" s="3"/>
      <c r="D511" s="3"/>
      <c r="E511" s="3"/>
      <c r="F511" s="3"/>
      <c r="G511" s="3"/>
      <c r="H511" s="3"/>
      <c r="I511" s="4"/>
      <c r="J511" s="4"/>
      <c r="K511" s="4"/>
      <c r="L511" s="4"/>
      <c r="M511" s="4"/>
      <c r="N511" s="126"/>
      <c r="O511" s="7"/>
      <c r="P511" s="3"/>
      <c r="Q511" s="3"/>
      <c r="R511" s="1"/>
    </row>
    <row r="512" spans="1:18" ht="15.75" customHeight="1" x14ac:dyDescent="0.2">
      <c r="A512" s="2"/>
      <c r="B512" s="9"/>
      <c r="C512" s="3"/>
      <c r="D512" s="3"/>
      <c r="E512" s="3"/>
      <c r="F512" s="3"/>
      <c r="G512" s="3"/>
      <c r="H512" s="3"/>
      <c r="I512" s="4"/>
      <c r="J512" s="4"/>
      <c r="K512" s="4"/>
      <c r="L512" s="4"/>
      <c r="M512" s="4"/>
      <c r="N512" s="126"/>
      <c r="O512" s="7"/>
      <c r="P512" s="3"/>
      <c r="Q512" s="3"/>
      <c r="R512" s="1"/>
    </row>
    <row r="513" spans="1:18" ht="15.75" customHeight="1" x14ac:dyDescent="0.2">
      <c r="A513" s="2"/>
      <c r="B513" s="9"/>
      <c r="C513" s="3"/>
      <c r="D513" s="3"/>
      <c r="E513" s="3"/>
      <c r="F513" s="3"/>
      <c r="G513" s="3"/>
      <c r="H513" s="3"/>
      <c r="I513" s="4"/>
      <c r="J513" s="4"/>
      <c r="K513" s="4"/>
      <c r="L513" s="4"/>
      <c r="M513" s="4"/>
      <c r="N513" s="126"/>
      <c r="O513" s="7"/>
      <c r="P513" s="3"/>
      <c r="Q513" s="3"/>
      <c r="R513" s="1"/>
    </row>
    <row r="514" spans="1:18" ht="15.75" customHeight="1" x14ac:dyDescent="0.2">
      <c r="A514" s="2"/>
      <c r="B514" s="9"/>
      <c r="C514" s="3"/>
      <c r="D514" s="3"/>
      <c r="E514" s="3"/>
      <c r="F514" s="3"/>
      <c r="G514" s="3"/>
      <c r="H514" s="3"/>
      <c r="I514" s="4"/>
      <c r="J514" s="4"/>
      <c r="K514" s="4"/>
      <c r="L514" s="4"/>
      <c r="M514" s="4"/>
      <c r="N514" s="126"/>
      <c r="O514" s="7"/>
      <c r="P514" s="3"/>
      <c r="Q514" s="3"/>
      <c r="R514" s="1"/>
    </row>
    <row r="515" spans="1:18" ht="15.75" customHeight="1" x14ac:dyDescent="0.2">
      <c r="A515" s="2"/>
      <c r="B515" s="9"/>
      <c r="C515" s="3"/>
      <c r="D515" s="3"/>
      <c r="E515" s="3"/>
      <c r="F515" s="3"/>
      <c r="G515" s="3"/>
      <c r="H515" s="3"/>
      <c r="I515" s="4"/>
      <c r="J515" s="4"/>
      <c r="K515" s="4"/>
      <c r="L515" s="4"/>
      <c r="M515" s="4"/>
      <c r="N515" s="126"/>
      <c r="O515" s="7"/>
      <c r="P515" s="3"/>
      <c r="Q515" s="3"/>
      <c r="R515" s="1"/>
    </row>
    <row r="516" spans="1:18" ht="15.75" customHeight="1" x14ac:dyDescent="0.2">
      <c r="A516" s="2"/>
      <c r="B516" s="9"/>
      <c r="C516" s="3"/>
      <c r="D516" s="3"/>
      <c r="E516" s="3"/>
      <c r="F516" s="3"/>
      <c r="G516" s="3"/>
      <c r="H516" s="3"/>
      <c r="I516" s="4"/>
      <c r="J516" s="4"/>
      <c r="K516" s="4"/>
      <c r="L516" s="4"/>
      <c r="M516" s="4"/>
      <c r="N516" s="126"/>
      <c r="O516" s="7"/>
      <c r="P516" s="3"/>
      <c r="Q516" s="3"/>
      <c r="R516" s="1"/>
    </row>
    <row r="517" spans="1:18" ht="15.75" customHeight="1" x14ac:dyDescent="0.2">
      <c r="A517" s="2"/>
      <c r="B517" s="9"/>
      <c r="C517" s="3"/>
      <c r="D517" s="3"/>
      <c r="E517" s="3"/>
      <c r="F517" s="3"/>
      <c r="G517" s="3"/>
      <c r="H517" s="3"/>
      <c r="I517" s="4"/>
      <c r="J517" s="4"/>
      <c r="K517" s="4"/>
      <c r="L517" s="4"/>
      <c r="M517" s="4"/>
      <c r="N517" s="126"/>
      <c r="O517" s="7"/>
      <c r="P517" s="3"/>
      <c r="Q517" s="3"/>
      <c r="R517" s="1"/>
    </row>
    <row r="518" spans="1:18" ht="15.75" customHeight="1" x14ac:dyDescent="0.2">
      <c r="A518" s="2"/>
      <c r="B518" s="9"/>
      <c r="C518" s="3"/>
      <c r="D518" s="3"/>
      <c r="E518" s="3"/>
      <c r="F518" s="3"/>
      <c r="G518" s="3"/>
      <c r="H518" s="3"/>
      <c r="I518" s="4"/>
      <c r="J518" s="4"/>
      <c r="K518" s="4"/>
      <c r="L518" s="4"/>
      <c r="M518" s="4"/>
      <c r="N518" s="126"/>
      <c r="O518" s="7"/>
      <c r="P518" s="3"/>
      <c r="Q518" s="3"/>
      <c r="R518" s="1"/>
    </row>
    <row r="519" spans="1:18" ht="15.75" customHeight="1" x14ac:dyDescent="0.2">
      <c r="A519" s="2"/>
      <c r="B519" s="9"/>
      <c r="C519" s="3"/>
      <c r="D519" s="3"/>
      <c r="E519" s="3"/>
      <c r="F519" s="3"/>
      <c r="G519" s="3"/>
      <c r="H519" s="3"/>
      <c r="I519" s="4"/>
      <c r="J519" s="4"/>
      <c r="K519" s="4"/>
      <c r="L519" s="4"/>
      <c r="M519" s="4"/>
      <c r="N519" s="126"/>
      <c r="O519" s="7"/>
      <c r="P519" s="3"/>
      <c r="Q519" s="3"/>
      <c r="R519" s="1"/>
    </row>
    <row r="520" spans="1:18" ht="15.75" customHeight="1" x14ac:dyDescent="0.2">
      <c r="A520" s="2"/>
      <c r="B520" s="9"/>
      <c r="C520" s="3"/>
      <c r="D520" s="3"/>
      <c r="E520" s="3"/>
      <c r="F520" s="3"/>
      <c r="G520" s="3"/>
      <c r="H520" s="3"/>
      <c r="I520" s="4"/>
      <c r="J520" s="4"/>
      <c r="K520" s="4"/>
      <c r="L520" s="4"/>
      <c r="M520" s="4"/>
      <c r="N520" s="126"/>
      <c r="O520" s="7"/>
      <c r="P520" s="3"/>
      <c r="Q520" s="3"/>
      <c r="R520" s="1"/>
    </row>
    <row r="521" spans="1:18" ht="15.75" customHeight="1" x14ac:dyDescent="0.2">
      <c r="A521" s="2"/>
      <c r="B521" s="9"/>
      <c r="C521" s="3"/>
      <c r="D521" s="3"/>
      <c r="E521" s="3"/>
      <c r="F521" s="3"/>
      <c r="G521" s="3"/>
      <c r="H521" s="3"/>
      <c r="I521" s="4"/>
      <c r="J521" s="4"/>
      <c r="K521" s="4"/>
      <c r="L521" s="4"/>
      <c r="M521" s="4"/>
      <c r="N521" s="126"/>
      <c r="O521" s="7"/>
      <c r="P521" s="3"/>
      <c r="Q521" s="3"/>
      <c r="R521" s="1"/>
    </row>
    <row r="522" spans="1:18" ht="15.75" customHeight="1" x14ac:dyDescent="0.2">
      <c r="A522" s="2"/>
      <c r="B522" s="9"/>
      <c r="C522" s="3"/>
      <c r="D522" s="3"/>
      <c r="E522" s="3"/>
      <c r="F522" s="3"/>
      <c r="G522" s="3"/>
      <c r="H522" s="3"/>
      <c r="I522" s="4"/>
      <c r="J522" s="4"/>
      <c r="K522" s="4"/>
      <c r="L522" s="4"/>
      <c r="M522" s="4"/>
      <c r="N522" s="126"/>
      <c r="O522" s="7"/>
      <c r="P522" s="3"/>
      <c r="Q522" s="3"/>
      <c r="R522" s="1"/>
    </row>
    <row r="523" spans="1:18" ht="15.75" customHeight="1" x14ac:dyDescent="0.2">
      <c r="A523" s="2"/>
      <c r="B523" s="9"/>
      <c r="C523" s="3"/>
      <c r="D523" s="3"/>
      <c r="E523" s="3"/>
      <c r="F523" s="3"/>
      <c r="G523" s="3"/>
      <c r="H523" s="3"/>
      <c r="I523" s="4"/>
      <c r="J523" s="4"/>
      <c r="K523" s="4"/>
      <c r="L523" s="4"/>
      <c r="M523" s="4"/>
      <c r="N523" s="126"/>
      <c r="O523" s="7"/>
      <c r="P523" s="3"/>
      <c r="Q523" s="3"/>
      <c r="R523" s="1"/>
    </row>
    <row r="524" spans="1:18" ht="15.75" customHeight="1" x14ac:dyDescent="0.2">
      <c r="A524" s="2"/>
      <c r="B524" s="9"/>
      <c r="C524" s="3"/>
      <c r="D524" s="3"/>
      <c r="E524" s="3"/>
      <c r="F524" s="3"/>
      <c r="G524" s="3"/>
      <c r="H524" s="3"/>
      <c r="I524" s="4"/>
      <c r="J524" s="4"/>
      <c r="K524" s="4"/>
      <c r="L524" s="4"/>
      <c r="M524" s="4"/>
      <c r="N524" s="126"/>
      <c r="O524" s="7"/>
      <c r="P524" s="3"/>
      <c r="Q524" s="3"/>
      <c r="R524" s="1"/>
    </row>
    <row r="525" spans="1:18" ht="15.75" customHeight="1" x14ac:dyDescent="0.2">
      <c r="A525" s="2"/>
      <c r="B525" s="9"/>
      <c r="C525" s="3"/>
      <c r="D525" s="3"/>
      <c r="E525" s="3"/>
      <c r="F525" s="3"/>
      <c r="G525" s="3"/>
      <c r="H525" s="3"/>
      <c r="I525" s="4"/>
      <c r="J525" s="4"/>
      <c r="K525" s="4"/>
      <c r="L525" s="4"/>
      <c r="M525" s="4"/>
      <c r="N525" s="126"/>
      <c r="O525" s="7"/>
      <c r="P525" s="3"/>
      <c r="Q525" s="3"/>
      <c r="R525" s="1"/>
    </row>
    <row r="526" spans="1:18" ht="15.75" customHeight="1" x14ac:dyDescent="0.2">
      <c r="A526" s="2"/>
      <c r="B526" s="9"/>
      <c r="C526" s="3"/>
      <c r="D526" s="3"/>
      <c r="E526" s="3"/>
      <c r="F526" s="3"/>
      <c r="G526" s="3"/>
      <c r="H526" s="3"/>
      <c r="I526" s="4"/>
      <c r="J526" s="4"/>
      <c r="K526" s="4"/>
      <c r="L526" s="4"/>
      <c r="M526" s="4"/>
      <c r="N526" s="126"/>
      <c r="O526" s="7"/>
      <c r="P526" s="3"/>
      <c r="Q526" s="3"/>
      <c r="R526" s="1"/>
    </row>
    <row r="527" spans="1:18" ht="15.75" customHeight="1" x14ac:dyDescent="0.2">
      <c r="A527" s="2"/>
      <c r="B527" s="9"/>
      <c r="C527" s="3"/>
      <c r="D527" s="3"/>
      <c r="E527" s="3"/>
      <c r="F527" s="3"/>
      <c r="G527" s="3"/>
      <c r="H527" s="3"/>
      <c r="I527" s="4"/>
      <c r="J527" s="4"/>
      <c r="K527" s="4"/>
      <c r="L527" s="4"/>
      <c r="M527" s="4"/>
      <c r="N527" s="126"/>
      <c r="O527" s="7"/>
      <c r="P527" s="3"/>
      <c r="Q527" s="3"/>
      <c r="R527" s="1"/>
    </row>
    <row r="528" spans="1:18" ht="15.75" customHeight="1" x14ac:dyDescent="0.2">
      <c r="A528" s="2"/>
      <c r="B528" s="9"/>
      <c r="C528" s="3"/>
      <c r="D528" s="3"/>
      <c r="E528" s="3"/>
      <c r="F528" s="3"/>
      <c r="G528" s="3"/>
      <c r="H528" s="3"/>
      <c r="I528" s="4"/>
      <c r="J528" s="4"/>
      <c r="K528" s="4"/>
      <c r="L528" s="4"/>
      <c r="M528" s="4"/>
      <c r="N528" s="126"/>
      <c r="O528" s="7"/>
      <c r="P528" s="3"/>
      <c r="Q528" s="3"/>
      <c r="R528" s="1"/>
    </row>
    <row r="529" spans="1:18" ht="15.75" customHeight="1" x14ac:dyDescent="0.2">
      <c r="A529" s="2"/>
      <c r="B529" s="9"/>
      <c r="C529" s="3"/>
      <c r="D529" s="3"/>
      <c r="E529" s="3"/>
      <c r="F529" s="3"/>
      <c r="G529" s="3"/>
      <c r="H529" s="3"/>
      <c r="I529" s="4"/>
      <c r="J529" s="4"/>
      <c r="K529" s="4"/>
      <c r="L529" s="4"/>
      <c r="M529" s="4"/>
      <c r="N529" s="126"/>
      <c r="O529" s="7"/>
      <c r="P529" s="3"/>
      <c r="Q529" s="3"/>
      <c r="R529" s="1"/>
    </row>
    <row r="530" spans="1:18" ht="15.75" customHeight="1" x14ac:dyDescent="0.2">
      <c r="A530" s="2"/>
      <c r="B530" s="9"/>
      <c r="C530" s="3"/>
      <c r="D530" s="3"/>
      <c r="E530" s="3"/>
      <c r="F530" s="3"/>
      <c r="G530" s="3"/>
      <c r="H530" s="3"/>
      <c r="I530" s="4"/>
      <c r="J530" s="4"/>
      <c r="K530" s="4"/>
      <c r="L530" s="4"/>
      <c r="M530" s="4"/>
      <c r="N530" s="126"/>
      <c r="O530" s="7"/>
      <c r="P530" s="3"/>
      <c r="Q530" s="3"/>
      <c r="R530" s="1"/>
    </row>
    <row r="531" spans="1:18" ht="15.75" customHeight="1" x14ac:dyDescent="0.2">
      <c r="A531" s="2"/>
      <c r="B531" s="9"/>
      <c r="C531" s="3"/>
      <c r="D531" s="3"/>
      <c r="E531" s="3"/>
      <c r="F531" s="3"/>
      <c r="G531" s="3"/>
      <c r="H531" s="3"/>
      <c r="I531" s="4"/>
      <c r="J531" s="4"/>
      <c r="K531" s="4"/>
      <c r="L531" s="4"/>
      <c r="M531" s="4"/>
      <c r="N531" s="126"/>
      <c r="O531" s="7"/>
      <c r="P531" s="3"/>
      <c r="Q531" s="3"/>
      <c r="R531" s="1"/>
    </row>
    <row r="532" spans="1:18" ht="15.75" customHeight="1" x14ac:dyDescent="0.2">
      <c r="A532" s="2"/>
      <c r="B532" s="9"/>
      <c r="C532" s="3"/>
      <c r="D532" s="3"/>
      <c r="E532" s="3"/>
      <c r="F532" s="3"/>
      <c r="G532" s="3"/>
      <c r="H532" s="3"/>
      <c r="I532" s="4"/>
      <c r="J532" s="4"/>
      <c r="K532" s="4"/>
      <c r="L532" s="4"/>
      <c r="M532" s="4"/>
      <c r="N532" s="126"/>
      <c r="O532" s="7"/>
      <c r="P532" s="3"/>
      <c r="Q532" s="3"/>
      <c r="R532" s="1"/>
    </row>
    <row r="533" spans="1:18" ht="15.75" customHeight="1" x14ac:dyDescent="0.2">
      <c r="A533" s="2"/>
      <c r="B533" s="9"/>
      <c r="C533" s="3"/>
      <c r="D533" s="3"/>
      <c r="E533" s="3"/>
      <c r="F533" s="3"/>
      <c r="G533" s="3"/>
      <c r="H533" s="3"/>
      <c r="I533" s="4"/>
      <c r="J533" s="4"/>
      <c r="K533" s="4"/>
      <c r="L533" s="4"/>
      <c r="M533" s="4"/>
      <c r="N533" s="126"/>
      <c r="O533" s="7"/>
      <c r="P533" s="3"/>
      <c r="Q533" s="3"/>
      <c r="R533" s="1"/>
    </row>
    <row r="534" spans="1:18" ht="15.75" customHeight="1" x14ac:dyDescent="0.2">
      <c r="A534" s="2"/>
      <c r="B534" s="9"/>
      <c r="C534" s="3"/>
      <c r="D534" s="3"/>
      <c r="E534" s="3"/>
      <c r="F534" s="3"/>
      <c r="G534" s="3"/>
      <c r="H534" s="3"/>
      <c r="I534" s="4"/>
      <c r="J534" s="4"/>
      <c r="K534" s="4"/>
      <c r="L534" s="4"/>
      <c r="M534" s="4"/>
      <c r="N534" s="126"/>
      <c r="O534" s="7"/>
      <c r="P534" s="3"/>
      <c r="Q534" s="3"/>
      <c r="R534" s="1"/>
    </row>
    <row r="535" spans="1:18" ht="15.75" customHeight="1" x14ac:dyDescent="0.2">
      <c r="A535" s="2"/>
      <c r="B535" s="9"/>
      <c r="C535" s="3"/>
      <c r="D535" s="3"/>
      <c r="E535" s="3"/>
      <c r="F535" s="3"/>
      <c r="G535" s="3"/>
      <c r="H535" s="3"/>
      <c r="I535" s="4"/>
      <c r="J535" s="4"/>
      <c r="K535" s="4"/>
      <c r="L535" s="4"/>
      <c r="M535" s="4"/>
      <c r="N535" s="126"/>
      <c r="O535" s="7"/>
      <c r="P535" s="3"/>
      <c r="Q535" s="3"/>
      <c r="R535" s="1"/>
    </row>
    <row r="536" spans="1:18" ht="15.75" customHeight="1" x14ac:dyDescent="0.2">
      <c r="A536" s="2"/>
      <c r="B536" s="9"/>
      <c r="C536" s="3"/>
      <c r="D536" s="3"/>
      <c r="E536" s="3"/>
      <c r="F536" s="3"/>
      <c r="G536" s="3"/>
      <c r="H536" s="3"/>
      <c r="I536" s="4"/>
      <c r="J536" s="4"/>
      <c r="K536" s="4"/>
      <c r="L536" s="4"/>
      <c r="M536" s="4"/>
      <c r="N536" s="126"/>
      <c r="O536" s="7"/>
      <c r="P536" s="3"/>
      <c r="Q536" s="3"/>
      <c r="R536" s="1"/>
    </row>
    <row r="537" spans="1:18" ht="15.75" customHeight="1" x14ac:dyDescent="0.2">
      <c r="A537" s="2"/>
      <c r="B537" s="9"/>
      <c r="C537" s="3"/>
      <c r="D537" s="3"/>
      <c r="E537" s="3"/>
      <c r="F537" s="3"/>
      <c r="G537" s="3"/>
      <c r="H537" s="3"/>
      <c r="I537" s="4"/>
      <c r="J537" s="4"/>
      <c r="K537" s="4"/>
      <c r="L537" s="4"/>
      <c r="M537" s="4"/>
      <c r="N537" s="126"/>
      <c r="O537" s="7"/>
      <c r="P537" s="3"/>
      <c r="Q537" s="3"/>
      <c r="R537" s="1"/>
    </row>
    <row r="538" spans="1:18" ht="15.75" customHeight="1" x14ac:dyDescent="0.2">
      <c r="A538" s="2"/>
      <c r="B538" s="9"/>
      <c r="C538" s="3"/>
      <c r="D538" s="3"/>
      <c r="E538" s="3"/>
      <c r="F538" s="3"/>
      <c r="G538" s="3"/>
      <c r="H538" s="3"/>
      <c r="I538" s="4"/>
      <c r="J538" s="4"/>
      <c r="K538" s="4"/>
      <c r="L538" s="4"/>
      <c r="M538" s="4"/>
      <c r="N538" s="126"/>
      <c r="O538" s="7"/>
      <c r="P538" s="3"/>
      <c r="Q538" s="3"/>
      <c r="R538" s="1"/>
    </row>
    <row r="539" spans="1:18" ht="15.75" customHeight="1" x14ac:dyDescent="0.2">
      <c r="A539" s="2"/>
      <c r="B539" s="9"/>
      <c r="C539" s="3"/>
      <c r="D539" s="3"/>
      <c r="E539" s="3"/>
      <c r="F539" s="3"/>
      <c r="G539" s="3"/>
      <c r="H539" s="3"/>
      <c r="I539" s="4"/>
      <c r="J539" s="4"/>
      <c r="K539" s="4"/>
      <c r="L539" s="4"/>
      <c r="M539" s="4"/>
      <c r="N539" s="126"/>
      <c r="O539" s="7"/>
      <c r="P539" s="3"/>
      <c r="Q539" s="3"/>
      <c r="R539" s="1"/>
    </row>
    <row r="540" spans="1:18" ht="15.75" customHeight="1" x14ac:dyDescent="0.2">
      <c r="A540" s="2"/>
      <c r="B540" s="9"/>
      <c r="C540" s="3"/>
      <c r="D540" s="3"/>
      <c r="E540" s="3"/>
      <c r="F540" s="3"/>
      <c r="G540" s="3"/>
      <c r="H540" s="3"/>
      <c r="I540" s="4"/>
      <c r="J540" s="4"/>
      <c r="K540" s="4"/>
      <c r="L540" s="4"/>
      <c r="M540" s="4"/>
      <c r="N540" s="126"/>
      <c r="O540" s="7"/>
      <c r="P540" s="3"/>
      <c r="Q540" s="3"/>
      <c r="R540" s="1"/>
    </row>
    <row r="541" spans="1:18" ht="15.75" customHeight="1" x14ac:dyDescent="0.2">
      <c r="A541" s="2"/>
      <c r="B541" s="9"/>
      <c r="C541" s="3"/>
      <c r="D541" s="3"/>
      <c r="E541" s="3"/>
      <c r="F541" s="3"/>
      <c r="G541" s="3"/>
      <c r="H541" s="3"/>
      <c r="I541" s="4"/>
      <c r="J541" s="4"/>
      <c r="K541" s="4"/>
      <c r="L541" s="4"/>
      <c r="M541" s="4"/>
      <c r="N541" s="126"/>
      <c r="O541" s="7"/>
      <c r="P541" s="3"/>
      <c r="Q541" s="3"/>
      <c r="R541" s="1"/>
    </row>
    <row r="542" spans="1:18" ht="15.75" customHeight="1" x14ac:dyDescent="0.2">
      <c r="A542" s="2"/>
      <c r="B542" s="9"/>
      <c r="C542" s="3"/>
      <c r="D542" s="3"/>
      <c r="E542" s="3"/>
      <c r="F542" s="3"/>
      <c r="G542" s="3"/>
      <c r="H542" s="3"/>
      <c r="I542" s="4"/>
      <c r="J542" s="4"/>
      <c r="K542" s="4"/>
      <c r="L542" s="4"/>
      <c r="M542" s="4"/>
      <c r="N542" s="126"/>
      <c r="O542" s="7"/>
      <c r="P542" s="3"/>
      <c r="Q542" s="3"/>
      <c r="R542" s="1"/>
    </row>
    <row r="543" spans="1:18" ht="15.75" customHeight="1" x14ac:dyDescent="0.2">
      <c r="A543" s="2"/>
      <c r="B543" s="9"/>
      <c r="C543" s="3"/>
      <c r="D543" s="3"/>
      <c r="E543" s="3"/>
      <c r="F543" s="3"/>
      <c r="G543" s="3"/>
      <c r="H543" s="3"/>
      <c r="I543" s="4"/>
      <c r="J543" s="4"/>
      <c r="K543" s="4"/>
      <c r="L543" s="4"/>
      <c r="M543" s="4"/>
      <c r="N543" s="126"/>
      <c r="O543" s="7"/>
      <c r="P543" s="3"/>
      <c r="Q543" s="3"/>
      <c r="R543" s="1"/>
    </row>
    <row r="544" spans="1:18" ht="15.75" customHeight="1" x14ac:dyDescent="0.2">
      <c r="A544" s="2"/>
      <c r="B544" s="9"/>
      <c r="C544" s="3"/>
      <c r="D544" s="3"/>
      <c r="E544" s="3"/>
      <c r="F544" s="3"/>
      <c r="G544" s="3"/>
      <c r="H544" s="3"/>
      <c r="I544" s="4"/>
      <c r="J544" s="4"/>
      <c r="K544" s="4"/>
      <c r="L544" s="4"/>
      <c r="M544" s="4"/>
      <c r="N544" s="126"/>
      <c r="O544" s="7"/>
      <c r="P544" s="3"/>
      <c r="Q544" s="3"/>
      <c r="R544" s="1"/>
    </row>
    <row r="545" spans="1:18" ht="15.75" customHeight="1" x14ac:dyDescent="0.2">
      <c r="A545" s="2"/>
      <c r="B545" s="9"/>
      <c r="C545" s="3"/>
      <c r="D545" s="3"/>
      <c r="E545" s="3"/>
      <c r="F545" s="3"/>
      <c r="G545" s="3"/>
      <c r="H545" s="3"/>
      <c r="I545" s="4"/>
      <c r="J545" s="4"/>
      <c r="K545" s="4"/>
      <c r="L545" s="4"/>
      <c r="M545" s="4"/>
      <c r="N545" s="126"/>
      <c r="O545" s="7"/>
      <c r="P545" s="3"/>
      <c r="Q545" s="3"/>
      <c r="R545" s="1"/>
    </row>
    <row r="546" spans="1:18" ht="15.75" customHeight="1" x14ac:dyDescent="0.2">
      <c r="A546" s="2"/>
      <c r="B546" s="9"/>
      <c r="C546" s="3"/>
      <c r="D546" s="3"/>
      <c r="E546" s="3"/>
      <c r="F546" s="3"/>
      <c r="G546" s="3"/>
      <c r="H546" s="3"/>
      <c r="I546" s="4"/>
      <c r="J546" s="4"/>
      <c r="K546" s="4"/>
      <c r="L546" s="4"/>
      <c r="M546" s="4"/>
      <c r="N546" s="126"/>
      <c r="O546" s="7"/>
      <c r="P546" s="3"/>
      <c r="Q546" s="3"/>
      <c r="R546" s="1"/>
    </row>
    <row r="547" spans="1:18" ht="15.75" customHeight="1" x14ac:dyDescent="0.2">
      <c r="A547" s="2"/>
      <c r="B547" s="9"/>
      <c r="C547" s="3"/>
      <c r="D547" s="3"/>
      <c r="E547" s="3"/>
      <c r="F547" s="3"/>
      <c r="G547" s="3"/>
      <c r="H547" s="3"/>
      <c r="I547" s="4"/>
      <c r="J547" s="4"/>
      <c r="K547" s="4"/>
      <c r="L547" s="4"/>
      <c r="M547" s="4"/>
      <c r="N547" s="126"/>
      <c r="O547" s="7"/>
      <c r="P547" s="3"/>
      <c r="Q547" s="3"/>
      <c r="R547" s="1"/>
    </row>
    <row r="548" spans="1:18" ht="15.75" customHeight="1" x14ac:dyDescent="0.2">
      <c r="A548" s="2"/>
      <c r="B548" s="9"/>
      <c r="C548" s="3"/>
      <c r="D548" s="3"/>
      <c r="E548" s="3"/>
      <c r="F548" s="3"/>
      <c r="G548" s="3"/>
      <c r="H548" s="3"/>
      <c r="I548" s="4"/>
      <c r="J548" s="4"/>
      <c r="K548" s="4"/>
      <c r="L548" s="4"/>
      <c r="M548" s="4"/>
      <c r="N548" s="126"/>
      <c r="O548" s="7"/>
      <c r="P548" s="3"/>
      <c r="Q548" s="3"/>
      <c r="R548" s="1"/>
    </row>
    <row r="549" spans="1:18" ht="15.75" customHeight="1" x14ac:dyDescent="0.2">
      <c r="A549" s="2"/>
      <c r="B549" s="9"/>
      <c r="C549" s="3"/>
      <c r="D549" s="3"/>
      <c r="E549" s="3"/>
      <c r="F549" s="3"/>
      <c r="G549" s="3"/>
      <c r="H549" s="3"/>
      <c r="I549" s="4"/>
      <c r="J549" s="4"/>
      <c r="K549" s="4"/>
      <c r="L549" s="4"/>
      <c r="M549" s="4"/>
      <c r="N549" s="126"/>
      <c r="O549" s="7"/>
      <c r="P549" s="3"/>
      <c r="Q549" s="3"/>
      <c r="R549" s="1"/>
    </row>
    <row r="550" spans="1:18" ht="15.75" customHeight="1" x14ac:dyDescent="0.2">
      <c r="A550" s="2"/>
      <c r="B550" s="9"/>
      <c r="C550" s="3"/>
      <c r="D550" s="3"/>
      <c r="E550" s="3"/>
      <c r="F550" s="3"/>
      <c r="G550" s="3"/>
      <c r="H550" s="3"/>
      <c r="I550" s="4"/>
      <c r="J550" s="4"/>
      <c r="K550" s="4"/>
      <c r="L550" s="4"/>
      <c r="M550" s="4"/>
      <c r="N550" s="126"/>
      <c r="O550" s="7"/>
      <c r="P550" s="3"/>
      <c r="Q550" s="3"/>
      <c r="R550" s="1"/>
    </row>
    <row r="551" spans="1:18" ht="15.75" customHeight="1" x14ac:dyDescent="0.2">
      <c r="A551" s="2"/>
      <c r="B551" s="9"/>
      <c r="C551" s="3"/>
      <c r="D551" s="3"/>
      <c r="E551" s="3"/>
      <c r="F551" s="3"/>
      <c r="G551" s="3"/>
      <c r="H551" s="3"/>
      <c r="I551" s="4"/>
      <c r="J551" s="4"/>
      <c r="K551" s="4"/>
      <c r="L551" s="4"/>
      <c r="M551" s="4"/>
      <c r="N551" s="126"/>
      <c r="O551" s="7"/>
      <c r="P551" s="3"/>
      <c r="Q551" s="3"/>
      <c r="R551" s="1"/>
    </row>
    <row r="552" spans="1:18" ht="15.75" customHeight="1" x14ac:dyDescent="0.2">
      <c r="A552" s="2"/>
      <c r="B552" s="9"/>
      <c r="C552" s="3"/>
      <c r="D552" s="3"/>
      <c r="E552" s="3"/>
      <c r="F552" s="3"/>
      <c r="G552" s="3"/>
      <c r="H552" s="3"/>
      <c r="I552" s="4"/>
      <c r="J552" s="4"/>
      <c r="K552" s="4"/>
      <c r="L552" s="4"/>
      <c r="M552" s="4"/>
      <c r="N552" s="126"/>
      <c r="O552" s="7"/>
      <c r="P552" s="3"/>
      <c r="Q552" s="3"/>
      <c r="R552" s="1"/>
    </row>
    <row r="553" spans="1:18" ht="15.75" customHeight="1" x14ac:dyDescent="0.2">
      <c r="A553" s="2"/>
      <c r="B553" s="9"/>
      <c r="C553" s="3"/>
      <c r="D553" s="3"/>
      <c r="E553" s="3"/>
      <c r="F553" s="3"/>
      <c r="G553" s="3"/>
      <c r="H553" s="3"/>
      <c r="I553" s="4"/>
      <c r="J553" s="4"/>
      <c r="K553" s="4"/>
      <c r="L553" s="4"/>
      <c r="M553" s="4"/>
      <c r="N553" s="126"/>
      <c r="O553" s="7"/>
      <c r="P553" s="3"/>
      <c r="Q553" s="3"/>
      <c r="R553" s="1"/>
    </row>
    <row r="554" spans="1:18" ht="15.75" customHeight="1" x14ac:dyDescent="0.2">
      <c r="A554" s="2"/>
      <c r="B554" s="9"/>
      <c r="C554" s="3"/>
      <c r="D554" s="3"/>
      <c r="E554" s="3"/>
      <c r="F554" s="3"/>
      <c r="G554" s="3"/>
      <c r="H554" s="3"/>
      <c r="I554" s="4"/>
      <c r="J554" s="4"/>
      <c r="K554" s="4"/>
      <c r="L554" s="4"/>
      <c r="M554" s="4"/>
      <c r="N554" s="126"/>
      <c r="O554" s="7"/>
      <c r="P554" s="3"/>
      <c r="Q554" s="3"/>
      <c r="R554" s="1"/>
    </row>
    <row r="555" spans="1:18" ht="15.75" customHeight="1" x14ac:dyDescent="0.2">
      <c r="A555" s="2"/>
      <c r="B555" s="9"/>
      <c r="C555" s="3"/>
      <c r="D555" s="3"/>
      <c r="E555" s="3"/>
      <c r="F555" s="3"/>
      <c r="G555" s="3"/>
      <c r="H555" s="3"/>
      <c r="I555" s="4"/>
      <c r="J555" s="4"/>
      <c r="K555" s="4"/>
      <c r="L555" s="4"/>
      <c r="M555" s="4"/>
      <c r="N555" s="126"/>
      <c r="O555" s="7"/>
      <c r="P555" s="3"/>
      <c r="Q555" s="3"/>
      <c r="R555" s="1"/>
    </row>
    <row r="556" spans="1:18" ht="15.75" customHeight="1" x14ac:dyDescent="0.2">
      <c r="A556" s="2"/>
      <c r="B556" s="9"/>
      <c r="C556" s="3"/>
      <c r="D556" s="3"/>
      <c r="E556" s="3"/>
      <c r="F556" s="3"/>
      <c r="G556" s="3"/>
      <c r="H556" s="3"/>
      <c r="I556" s="4"/>
      <c r="J556" s="4"/>
      <c r="K556" s="4"/>
      <c r="L556" s="4"/>
      <c r="M556" s="4"/>
      <c r="N556" s="126"/>
      <c r="O556" s="7"/>
      <c r="P556" s="3"/>
      <c r="Q556" s="3"/>
      <c r="R556" s="1"/>
    </row>
    <row r="557" spans="1:18" ht="15.75" customHeight="1" x14ac:dyDescent="0.2">
      <c r="A557" s="2"/>
      <c r="B557" s="9"/>
      <c r="C557" s="3"/>
      <c r="D557" s="3"/>
      <c r="E557" s="3"/>
      <c r="F557" s="3"/>
      <c r="G557" s="3"/>
      <c r="H557" s="3"/>
      <c r="I557" s="4"/>
      <c r="J557" s="4"/>
      <c r="K557" s="4"/>
      <c r="L557" s="4"/>
      <c r="M557" s="4"/>
      <c r="N557" s="126"/>
      <c r="O557" s="7"/>
      <c r="P557" s="3"/>
      <c r="Q557" s="3"/>
      <c r="R557" s="1"/>
    </row>
    <row r="558" spans="1:18" ht="15.75" customHeight="1" x14ac:dyDescent="0.2">
      <c r="A558" s="2"/>
      <c r="B558" s="9"/>
      <c r="C558" s="3"/>
      <c r="D558" s="3"/>
      <c r="E558" s="3"/>
      <c r="F558" s="3"/>
      <c r="G558" s="3"/>
      <c r="H558" s="3"/>
      <c r="I558" s="4"/>
      <c r="J558" s="4"/>
      <c r="K558" s="4"/>
      <c r="L558" s="4"/>
      <c r="M558" s="4"/>
      <c r="N558" s="126"/>
      <c r="O558" s="7"/>
      <c r="P558" s="3"/>
      <c r="Q558" s="3"/>
      <c r="R558" s="1"/>
    </row>
    <row r="559" spans="1:18" ht="15.75" customHeight="1" x14ac:dyDescent="0.2">
      <c r="A559" s="2"/>
      <c r="B559" s="9"/>
      <c r="C559" s="3"/>
      <c r="D559" s="3"/>
      <c r="E559" s="3"/>
      <c r="F559" s="3"/>
      <c r="G559" s="3"/>
      <c r="H559" s="3"/>
      <c r="I559" s="4"/>
      <c r="J559" s="4"/>
      <c r="K559" s="4"/>
      <c r="L559" s="4"/>
      <c r="M559" s="4"/>
      <c r="N559" s="126"/>
      <c r="O559" s="7"/>
      <c r="P559" s="3"/>
      <c r="Q559" s="3"/>
      <c r="R559" s="1"/>
    </row>
    <row r="560" spans="1:18" ht="15.75" customHeight="1" x14ac:dyDescent="0.2">
      <c r="A560" s="2"/>
      <c r="B560" s="9"/>
      <c r="C560" s="3"/>
      <c r="D560" s="3"/>
      <c r="E560" s="3"/>
      <c r="F560" s="3"/>
      <c r="G560" s="3"/>
      <c r="H560" s="3"/>
      <c r="I560" s="4"/>
      <c r="J560" s="4"/>
      <c r="K560" s="4"/>
      <c r="L560" s="4"/>
      <c r="M560" s="4"/>
      <c r="N560" s="126"/>
      <c r="O560" s="7"/>
      <c r="P560" s="3"/>
      <c r="Q560" s="3"/>
      <c r="R560" s="1"/>
    </row>
    <row r="561" spans="1:18" ht="15.75" customHeight="1" x14ac:dyDescent="0.2">
      <c r="A561" s="2"/>
      <c r="B561" s="9"/>
      <c r="C561" s="3"/>
      <c r="D561" s="3"/>
      <c r="E561" s="3"/>
      <c r="F561" s="3"/>
      <c r="G561" s="3"/>
      <c r="H561" s="3"/>
      <c r="I561" s="4"/>
      <c r="J561" s="4"/>
      <c r="K561" s="4"/>
      <c r="L561" s="4"/>
      <c r="M561" s="4"/>
      <c r="N561" s="126"/>
      <c r="O561" s="7"/>
      <c r="P561" s="3"/>
      <c r="Q561" s="3"/>
      <c r="R561" s="1"/>
    </row>
    <row r="562" spans="1:18" ht="15.75" customHeight="1" x14ac:dyDescent="0.2">
      <c r="A562" s="2"/>
      <c r="B562" s="9"/>
      <c r="C562" s="3"/>
      <c r="D562" s="3"/>
      <c r="E562" s="3"/>
      <c r="F562" s="3"/>
      <c r="G562" s="3"/>
      <c r="H562" s="3"/>
      <c r="I562" s="4"/>
      <c r="J562" s="4"/>
      <c r="K562" s="4"/>
      <c r="L562" s="4"/>
      <c r="M562" s="4"/>
      <c r="N562" s="126"/>
      <c r="O562" s="7"/>
      <c r="P562" s="3"/>
      <c r="Q562" s="3"/>
      <c r="R562" s="1"/>
    </row>
    <row r="563" spans="1:18" ht="15.75" customHeight="1" x14ac:dyDescent="0.2">
      <c r="A563" s="2"/>
      <c r="B563" s="9"/>
      <c r="C563" s="3"/>
      <c r="D563" s="3"/>
      <c r="E563" s="3"/>
      <c r="F563" s="3"/>
      <c r="G563" s="3"/>
      <c r="H563" s="3"/>
      <c r="I563" s="4"/>
      <c r="J563" s="4"/>
      <c r="K563" s="4"/>
      <c r="L563" s="4"/>
      <c r="M563" s="4"/>
      <c r="N563" s="126"/>
      <c r="O563" s="7"/>
      <c r="P563" s="3"/>
      <c r="Q563" s="3"/>
      <c r="R563" s="1"/>
    </row>
    <row r="564" spans="1:18" ht="15.75" customHeight="1" x14ac:dyDescent="0.2">
      <c r="A564" s="2"/>
      <c r="B564" s="9"/>
      <c r="C564" s="3"/>
      <c r="D564" s="3"/>
      <c r="E564" s="3"/>
      <c r="F564" s="3"/>
      <c r="G564" s="3"/>
      <c r="H564" s="3"/>
      <c r="I564" s="4"/>
      <c r="J564" s="4"/>
      <c r="K564" s="4"/>
      <c r="L564" s="4"/>
      <c r="M564" s="4"/>
      <c r="N564" s="126"/>
      <c r="O564" s="7"/>
      <c r="P564" s="3"/>
      <c r="Q564" s="3"/>
      <c r="R564" s="1"/>
    </row>
    <row r="565" spans="1:18" ht="15.75" customHeight="1" x14ac:dyDescent="0.2">
      <c r="A565" s="2"/>
      <c r="B565" s="9"/>
      <c r="C565" s="3"/>
      <c r="D565" s="3"/>
      <c r="E565" s="3"/>
      <c r="F565" s="3"/>
      <c r="G565" s="3"/>
      <c r="H565" s="3"/>
      <c r="I565" s="4"/>
      <c r="J565" s="4"/>
      <c r="K565" s="4"/>
      <c r="L565" s="4"/>
      <c r="M565" s="4"/>
      <c r="N565" s="126"/>
      <c r="O565" s="7"/>
      <c r="P565" s="3"/>
      <c r="Q565" s="3"/>
      <c r="R565" s="1"/>
    </row>
    <row r="566" spans="1:18" ht="15.75" customHeight="1" x14ac:dyDescent="0.2">
      <c r="A566" s="2"/>
      <c r="B566" s="9"/>
      <c r="C566" s="3"/>
      <c r="D566" s="3"/>
      <c r="E566" s="3"/>
      <c r="F566" s="3"/>
      <c r="G566" s="3"/>
      <c r="H566" s="3"/>
      <c r="I566" s="4"/>
      <c r="J566" s="4"/>
      <c r="K566" s="4"/>
      <c r="L566" s="4"/>
      <c r="M566" s="4"/>
      <c r="N566" s="126"/>
      <c r="O566" s="7"/>
      <c r="P566" s="3"/>
      <c r="Q566" s="3"/>
      <c r="R566" s="1"/>
    </row>
    <row r="567" spans="1:18" ht="15.75" customHeight="1" x14ac:dyDescent="0.2">
      <c r="A567" s="2"/>
      <c r="B567" s="9"/>
      <c r="C567" s="3"/>
      <c r="D567" s="3"/>
      <c r="E567" s="3"/>
      <c r="F567" s="3"/>
      <c r="G567" s="3"/>
      <c r="H567" s="3"/>
      <c r="I567" s="4"/>
      <c r="J567" s="4"/>
      <c r="K567" s="4"/>
      <c r="L567" s="4"/>
      <c r="M567" s="4"/>
      <c r="N567" s="126"/>
      <c r="O567" s="7"/>
      <c r="P567" s="3"/>
      <c r="Q567" s="3"/>
      <c r="R567" s="1"/>
    </row>
    <row r="568" spans="1:18" ht="15.75" customHeight="1" x14ac:dyDescent="0.2">
      <c r="A568" s="2"/>
      <c r="B568" s="9"/>
      <c r="C568" s="3"/>
      <c r="D568" s="3"/>
      <c r="E568" s="3"/>
      <c r="F568" s="3"/>
      <c r="G568" s="3"/>
      <c r="H568" s="3"/>
      <c r="I568" s="4"/>
      <c r="J568" s="4"/>
      <c r="K568" s="4"/>
      <c r="L568" s="4"/>
      <c r="M568" s="4"/>
      <c r="N568" s="126"/>
      <c r="O568" s="7"/>
      <c r="P568" s="3"/>
      <c r="Q568" s="3"/>
      <c r="R568" s="1"/>
    </row>
    <row r="569" spans="1:18" ht="15.75" customHeight="1" x14ac:dyDescent="0.2">
      <c r="A569" s="2"/>
      <c r="B569" s="9"/>
      <c r="C569" s="3"/>
      <c r="D569" s="3"/>
      <c r="E569" s="3"/>
      <c r="F569" s="3"/>
      <c r="G569" s="3"/>
      <c r="H569" s="3"/>
      <c r="I569" s="4"/>
      <c r="J569" s="4"/>
      <c r="K569" s="4"/>
      <c r="L569" s="4"/>
      <c r="M569" s="4"/>
      <c r="N569" s="126"/>
      <c r="O569" s="7"/>
      <c r="P569" s="3"/>
      <c r="Q569" s="3"/>
      <c r="R569" s="1"/>
    </row>
    <row r="570" spans="1:18" ht="15.75" customHeight="1" x14ac:dyDescent="0.2">
      <c r="A570" s="2"/>
      <c r="B570" s="9"/>
      <c r="C570" s="3"/>
      <c r="D570" s="3"/>
      <c r="E570" s="3"/>
      <c r="F570" s="3"/>
      <c r="G570" s="3"/>
      <c r="H570" s="3"/>
      <c r="I570" s="4"/>
      <c r="J570" s="4"/>
      <c r="K570" s="4"/>
      <c r="L570" s="4"/>
      <c r="M570" s="4"/>
      <c r="N570" s="126"/>
      <c r="O570" s="7"/>
      <c r="P570" s="3"/>
      <c r="Q570" s="3"/>
      <c r="R570" s="1"/>
    </row>
    <row r="571" spans="1:18" ht="15.75" customHeight="1" x14ac:dyDescent="0.2">
      <c r="A571" s="2"/>
      <c r="B571" s="9"/>
      <c r="C571" s="3"/>
      <c r="D571" s="3"/>
      <c r="E571" s="3"/>
      <c r="F571" s="3"/>
      <c r="G571" s="3"/>
      <c r="H571" s="3"/>
      <c r="I571" s="4"/>
      <c r="J571" s="4"/>
      <c r="K571" s="4"/>
      <c r="L571" s="4"/>
      <c r="M571" s="4"/>
      <c r="N571" s="126"/>
      <c r="O571" s="7"/>
      <c r="P571" s="3"/>
      <c r="Q571" s="3"/>
      <c r="R571" s="1"/>
    </row>
    <row r="572" spans="1:18" ht="15.75" customHeight="1" x14ac:dyDescent="0.2">
      <c r="A572" s="2"/>
      <c r="B572" s="9"/>
      <c r="C572" s="3"/>
      <c r="D572" s="3"/>
      <c r="E572" s="3"/>
      <c r="F572" s="3"/>
      <c r="G572" s="3"/>
      <c r="H572" s="3"/>
      <c r="I572" s="4"/>
      <c r="J572" s="4"/>
      <c r="K572" s="4"/>
      <c r="L572" s="4"/>
      <c r="M572" s="4"/>
      <c r="N572" s="126"/>
      <c r="O572" s="7"/>
      <c r="P572" s="3"/>
      <c r="Q572" s="3"/>
      <c r="R572" s="1"/>
    </row>
    <row r="573" spans="1:18" ht="15.75" customHeight="1" x14ac:dyDescent="0.2">
      <c r="A573" s="2"/>
      <c r="B573" s="9"/>
      <c r="C573" s="3"/>
      <c r="D573" s="3"/>
      <c r="E573" s="3"/>
      <c r="F573" s="3"/>
      <c r="G573" s="3"/>
      <c r="H573" s="3"/>
      <c r="I573" s="4"/>
      <c r="J573" s="4"/>
      <c r="K573" s="4"/>
      <c r="L573" s="4"/>
      <c r="M573" s="4"/>
      <c r="N573" s="126"/>
      <c r="O573" s="7"/>
      <c r="P573" s="3"/>
      <c r="Q573" s="3"/>
      <c r="R573" s="1"/>
    </row>
    <row r="574" spans="1:18" ht="15.75" customHeight="1" x14ac:dyDescent="0.2">
      <c r="A574" s="2"/>
      <c r="B574" s="9"/>
      <c r="C574" s="3"/>
      <c r="D574" s="3"/>
      <c r="E574" s="3"/>
      <c r="F574" s="3"/>
      <c r="G574" s="3"/>
      <c r="H574" s="3"/>
      <c r="I574" s="4"/>
      <c r="J574" s="4"/>
      <c r="K574" s="4"/>
      <c r="L574" s="4"/>
      <c r="M574" s="4"/>
      <c r="N574" s="126"/>
      <c r="O574" s="7"/>
      <c r="P574" s="3"/>
      <c r="Q574" s="3"/>
      <c r="R574" s="1"/>
    </row>
    <row r="575" spans="1:18" ht="15.75" customHeight="1" x14ac:dyDescent="0.2">
      <c r="A575" s="2"/>
      <c r="B575" s="9"/>
      <c r="C575" s="3"/>
      <c r="D575" s="3"/>
      <c r="E575" s="3"/>
      <c r="F575" s="3"/>
      <c r="G575" s="3"/>
      <c r="H575" s="3"/>
      <c r="I575" s="4"/>
      <c r="J575" s="4"/>
      <c r="K575" s="4"/>
      <c r="L575" s="4"/>
      <c r="M575" s="4"/>
      <c r="N575" s="126"/>
      <c r="O575" s="7"/>
      <c r="P575" s="3"/>
      <c r="Q575" s="3"/>
      <c r="R575" s="1"/>
    </row>
    <row r="576" spans="1:18" ht="15.75" customHeight="1" x14ac:dyDescent="0.2">
      <c r="A576" s="2"/>
      <c r="B576" s="9"/>
      <c r="C576" s="3"/>
      <c r="D576" s="3"/>
      <c r="E576" s="3"/>
      <c r="F576" s="3"/>
      <c r="G576" s="3"/>
      <c r="H576" s="3"/>
      <c r="I576" s="4"/>
      <c r="J576" s="4"/>
      <c r="K576" s="4"/>
      <c r="L576" s="4"/>
      <c r="M576" s="4"/>
      <c r="N576" s="126"/>
      <c r="O576" s="7"/>
      <c r="P576" s="3"/>
      <c r="Q576" s="3"/>
      <c r="R576" s="1"/>
    </row>
    <row r="577" spans="1:18" ht="15.75" customHeight="1" x14ac:dyDescent="0.2">
      <c r="A577" s="2"/>
      <c r="B577" s="9"/>
      <c r="C577" s="3"/>
      <c r="D577" s="3"/>
      <c r="E577" s="3"/>
      <c r="F577" s="3"/>
      <c r="G577" s="3"/>
      <c r="H577" s="3"/>
      <c r="I577" s="4"/>
      <c r="J577" s="4"/>
      <c r="K577" s="4"/>
      <c r="L577" s="4"/>
      <c r="M577" s="4"/>
      <c r="N577" s="126"/>
      <c r="O577" s="7"/>
      <c r="P577" s="3"/>
      <c r="Q577" s="3"/>
      <c r="R577" s="1"/>
    </row>
    <row r="578" spans="1:18" ht="15.75" customHeight="1" x14ac:dyDescent="0.2">
      <c r="A578" s="2"/>
      <c r="B578" s="9"/>
      <c r="C578" s="3"/>
      <c r="D578" s="3"/>
      <c r="E578" s="3"/>
      <c r="F578" s="3"/>
      <c r="G578" s="3"/>
      <c r="H578" s="3"/>
      <c r="I578" s="4"/>
      <c r="J578" s="4"/>
      <c r="K578" s="4"/>
      <c r="L578" s="4"/>
      <c r="M578" s="4"/>
      <c r="N578" s="126"/>
      <c r="O578" s="7"/>
      <c r="P578" s="3"/>
      <c r="Q578" s="3"/>
      <c r="R578" s="1"/>
    </row>
    <row r="579" spans="1:18" ht="15.75" customHeight="1" x14ac:dyDescent="0.2">
      <c r="A579" s="2"/>
      <c r="B579" s="9"/>
      <c r="C579" s="3"/>
      <c r="D579" s="3"/>
      <c r="E579" s="3"/>
      <c r="F579" s="3"/>
      <c r="G579" s="3"/>
      <c r="H579" s="3"/>
      <c r="I579" s="4"/>
      <c r="J579" s="4"/>
      <c r="K579" s="4"/>
      <c r="L579" s="4"/>
      <c r="M579" s="4"/>
      <c r="N579" s="126"/>
      <c r="O579" s="7"/>
      <c r="P579" s="3"/>
      <c r="Q579" s="3"/>
      <c r="R579" s="1"/>
    </row>
    <row r="580" spans="1:18" ht="15.75" customHeight="1" x14ac:dyDescent="0.2">
      <c r="A580" s="2"/>
      <c r="B580" s="9"/>
      <c r="C580" s="3"/>
      <c r="D580" s="3"/>
      <c r="E580" s="3"/>
      <c r="F580" s="3"/>
      <c r="G580" s="3"/>
      <c r="H580" s="3"/>
      <c r="I580" s="4"/>
      <c r="J580" s="4"/>
      <c r="K580" s="4"/>
      <c r="L580" s="4"/>
      <c r="M580" s="4"/>
      <c r="N580" s="126"/>
      <c r="O580" s="7"/>
      <c r="P580" s="3"/>
      <c r="Q580" s="3"/>
      <c r="R580" s="1"/>
    </row>
    <row r="581" spans="1:18" ht="15.75" customHeight="1" x14ac:dyDescent="0.2">
      <c r="A581" s="2"/>
      <c r="B581" s="9"/>
      <c r="C581" s="3"/>
      <c r="D581" s="3"/>
      <c r="E581" s="3"/>
      <c r="F581" s="3"/>
      <c r="G581" s="3"/>
      <c r="H581" s="3"/>
      <c r="I581" s="4"/>
      <c r="J581" s="4"/>
      <c r="K581" s="4"/>
      <c r="L581" s="4"/>
      <c r="M581" s="4"/>
      <c r="N581" s="126"/>
      <c r="O581" s="7"/>
      <c r="P581" s="3"/>
      <c r="Q581" s="3"/>
      <c r="R581" s="1"/>
    </row>
    <row r="582" spans="1:18" ht="15.75" customHeight="1" x14ac:dyDescent="0.2">
      <c r="A582" s="2"/>
      <c r="B582" s="9"/>
      <c r="C582" s="3"/>
      <c r="D582" s="3"/>
      <c r="E582" s="3"/>
      <c r="F582" s="3"/>
      <c r="G582" s="3"/>
      <c r="H582" s="3"/>
      <c r="I582" s="4"/>
      <c r="J582" s="4"/>
      <c r="K582" s="4"/>
      <c r="L582" s="4"/>
      <c r="M582" s="4"/>
      <c r="N582" s="126"/>
      <c r="O582" s="7"/>
      <c r="P582" s="3"/>
      <c r="Q582" s="3"/>
      <c r="R582" s="1"/>
    </row>
    <row r="583" spans="1:18" ht="15.75" customHeight="1" x14ac:dyDescent="0.2">
      <c r="A583" s="2"/>
      <c r="B583" s="9"/>
      <c r="C583" s="3"/>
      <c r="D583" s="3"/>
      <c r="E583" s="3"/>
      <c r="F583" s="3"/>
      <c r="G583" s="3"/>
      <c r="H583" s="3"/>
      <c r="I583" s="4"/>
      <c r="J583" s="4"/>
      <c r="K583" s="4"/>
      <c r="L583" s="4"/>
      <c r="M583" s="4"/>
      <c r="N583" s="126"/>
      <c r="O583" s="7"/>
      <c r="P583" s="3"/>
      <c r="Q583" s="3"/>
      <c r="R583" s="1"/>
    </row>
    <row r="584" spans="1:18" ht="15.75" customHeight="1" x14ac:dyDescent="0.2">
      <c r="A584" s="2"/>
      <c r="B584" s="9"/>
      <c r="C584" s="3"/>
      <c r="D584" s="3"/>
      <c r="E584" s="3"/>
      <c r="F584" s="3"/>
      <c r="G584" s="3"/>
      <c r="H584" s="3"/>
      <c r="I584" s="4"/>
      <c r="J584" s="4"/>
      <c r="K584" s="4"/>
      <c r="L584" s="4"/>
      <c r="M584" s="4"/>
      <c r="N584" s="126"/>
      <c r="O584" s="7"/>
      <c r="P584" s="3"/>
      <c r="Q584" s="3"/>
      <c r="R584" s="1"/>
    </row>
    <row r="585" spans="1:18" ht="15.75" customHeight="1" x14ac:dyDescent="0.2">
      <c r="A585" s="2"/>
      <c r="B585" s="9"/>
      <c r="C585" s="3"/>
      <c r="D585" s="3"/>
      <c r="E585" s="3"/>
      <c r="F585" s="3"/>
      <c r="G585" s="3"/>
      <c r="H585" s="3"/>
      <c r="I585" s="4"/>
      <c r="J585" s="4"/>
      <c r="K585" s="4"/>
      <c r="L585" s="4"/>
      <c r="M585" s="4"/>
      <c r="N585" s="126"/>
      <c r="O585" s="7"/>
      <c r="P585" s="3"/>
      <c r="Q585" s="3"/>
      <c r="R585" s="1"/>
    </row>
    <row r="586" spans="1:18" ht="15.75" customHeight="1" x14ac:dyDescent="0.2">
      <c r="A586" s="2"/>
      <c r="B586" s="9"/>
      <c r="C586" s="3"/>
      <c r="D586" s="3"/>
      <c r="E586" s="3"/>
      <c r="F586" s="3"/>
      <c r="G586" s="3"/>
      <c r="H586" s="3"/>
      <c r="I586" s="4"/>
      <c r="J586" s="4"/>
      <c r="K586" s="4"/>
      <c r="L586" s="4"/>
      <c r="M586" s="4"/>
      <c r="N586" s="126"/>
      <c r="O586" s="7"/>
      <c r="P586" s="3"/>
      <c r="Q586" s="3"/>
      <c r="R586" s="1"/>
    </row>
    <row r="587" spans="1:18" ht="15.75" customHeight="1" x14ac:dyDescent="0.2">
      <c r="A587" s="2"/>
      <c r="B587" s="9"/>
      <c r="C587" s="3"/>
      <c r="D587" s="3"/>
      <c r="E587" s="3"/>
      <c r="F587" s="3"/>
      <c r="G587" s="3"/>
      <c r="H587" s="3"/>
      <c r="I587" s="4"/>
      <c r="J587" s="4"/>
      <c r="K587" s="4"/>
      <c r="L587" s="4"/>
      <c r="M587" s="4"/>
      <c r="N587" s="126"/>
      <c r="O587" s="7"/>
      <c r="P587" s="3"/>
      <c r="Q587" s="3"/>
      <c r="R587" s="1"/>
    </row>
    <row r="588" spans="1:18" ht="15.75" customHeight="1" x14ac:dyDescent="0.2">
      <c r="A588" s="2"/>
      <c r="B588" s="9"/>
      <c r="C588" s="3"/>
      <c r="D588" s="3"/>
      <c r="E588" s="3"/>
      <c r="F588" s="3"/>
      <c r="G588" s="3"/>
      <c r="H588" s="3"/>
      <c r="I588" s="4"/>
      <c r="J588" s="4"/>
      <c r="K588" s="4"/>
      <c r="L588" s="4"/>
      <c r="M588" s="4"/>
      <c r="N588" s="126"/>
      <c r="O588" s="7"/>
      <c r="P588" s="3"/>
      <c r="Q588" s="3"/>
      <c r="R588" s="1"/>
    </row>
    <row r="589" spans="1:18" ht="15.75" customHeight="1" x14ac:dyDescent="0.2">
      <c r="A589" s="2"/>
      <c r="B589" s="9"/>
      <c r="C589" s="3"/>
      <c r="D589" s="3"/>
      <c r="E589" s="3"/>
      <c r="F589" s="3"/>
      <c r="G589" s="3"/>
      <c r="H589" s="3"/>
      <c r="I589" s="4"/>
      <c r="J589" s="4"/>
      <c r="K589" s="4"/>
      <c r="L589" s="4"/>
      <c r="M589" s="4"/>
      <c r="N589" s="126"/>
      <c r="O589" s="7"/>
      <c r="P589" s="3"/>
      <c r="Q589" s="3"/>
      <c r="R589" s="1"/>
    </row>
    <row r="590" spans="1:18" ht="15.75" customHeight="1" x14ac:dyDescent="0.2">
      <c r="A590" s="2"/>
      <c r="B590" s="9"/>
      <c r="C590" s="3"/>
      <c r="D590" s="3"/>
      <c r="E590" s="3"/>
      <c r="F590" s="3"/>
      <c r="G590" s="3"/>
      <c r="H590" s="3"/>
      <c r="I590" s="4"/>
      <c r="J590" s="4"/>
      <c r="K590" s="4"/>
      <c r="L590" s="4"/>
      <c r="M590" s="4"/>
      <c r="N590" s="126"/>
      <c r="O590" s="7"/>
      <c r="P590" s="3"/>
      <c r="Q590" s="3"/>
      <c r="R590" s="1"/>
    </row>
    <row r="591" spans="1:18" ht="15.75" customHeight="1" x14ac:dyDescent="0.2">
      <c r="A591" s="2"/>
      <c r="B591" s="9"/>
      <c r="C591" s="3"/>
      <c r="D591" s="3"/>
      <c r="E591" s="3"/>
      <c r="F591" s="3"/>
      <c r="G591" s="3"/>
      <c r="H591" s="3"/>
      <c r="I591" s="4"/>
      <c r="J591" s="4"/>
      <c r="K591" s="4"/>
      <c r="L591" s="4"/>
      <c r="M591" s="4"/>
      <c r="N591" s="126"/>
      <c r="O591" s="7"/>
      <c r="P591" s="3"/>
      <c r="Q591" s="3"/>
      <c r="R591" s="1"/>
    </row>
    <row r="592" spans="1:18" ht="15.75" customHeight="1" x14ac:dyDescent="0.2">
      <c r="A592" s="2"/>
      <c r="B592" s="9"/>
      <c r="C592" s="3"/>
      <c r="D592" s="3"/>
      <c r="E592" s="3"/>
      <c r="F592" s="3"/>
      <c r="G592" s="3"/>
      <c r="H592" s="3"/>
      <c r="I592" s="4"/>
      <c r="J592" s="4"/>
      <c r="K592" s="4"/>
      <c r="L592" s="4"/>
      <c r="M592" s="4"/>
      <c r="N592" s="126"/>
      <c r="O592" s="7"/>
      <c r="P592" s="3"/>
      <c r="Q592" s="3"/>
      <c r="R592" s="1"/>
    </row>
    <row r="593" spans="1:18" ht="15.75" customHeight="1" x14ac:dyDescent="0.2">
      <c r="A593" s="2"/>
      <c r="B593" s="9"/>
      <c r="C593" s="3"/>
      <c r="D593" s="3"/>
      <c r="E593" s="3"/>
      <c r="F593" s="3"/>
      <c r="G593" s="3"/>
      <c r="H593" s="3"/>
      <c r="I593" s="4"/>
      <c r="J593" s="4"/>
      <c r="K593" s="4"/>
      <c r="L593" s="4"/>
      <c r="M593" s="4"/>
      <c r="N593" s="126"/>
      <c r="O593" s="7"/>
      <c r="P593" s="3"/>
      <c r="Q593" s="3"/>
      <c r="R593" s="1"/>
    </row>
    <row r="594" spans="1:18" ht="15.75" customHeight="1" x14ac:dyDescent="0.2">
      <c r="A594" s="2"/>
      <c r="B594" s="9"/>
      <c r="C594" s="3"/>
      <c r="D594" s="3"/>
      <c r="E594" s="3"/>
      <c r="F594" s="3"/>
      <c r="G594" s="3"/>
      <c r="H594" s="3"/>
      <c r="I594" s="4"/>
      <c r="J594" s="4"/>
      <c r="K594" s="4"/>
      <c r="L594" s="4"/>
      <c r="M594" s="4"/>
      <c r="N594" s="126"/>
      <c r="O594" s="7"/>
      <c r="P594" s="3"/>
      <c r="Q594" s="3"/>
      <c r="R594" s="1"/>
    </row>
    <row r="595" spans="1:18" ht="15.75" customHeight="1" x14ac:dyDescent="0.2">
      <c r="A595" s="2"/>
      <c r="B595" s="9"/>
      <c r="C595" s="3"/>
      <c r="D595" s="3"/>
      <c r="E595" s="3"/>
      <c r="F595" s="3"/>
      <c r="G595" s="3"/>
      <c r="H595" s="3"/>
      <c r="I595" s="4"/>
      <c r="J595" s="4"/>
      <c r="K595" s="4"/>
      <c r="L595" s="4"/>
      <c r="M595" s="4"/>
      <c r="N595" s="126"/>
      <c r="O595" s="7"/>
      <c r="P595" s="3"/>
      <c r="Q595" s="3"/>
      <c r="R595" s="1"/>
    </row>
    <row r="596" spans="1:18" ht="15.75" customHeight="1" x14ac:dyDescent="0.2">
      <c r="A596" s="2"/>
      <c r="B596" s="9"/>
      <c r="C596" s="3"/>
      <c r="D596" s="3"/>
      <c r="E596" s="3"/>
      <c r="F596" s="3"/>
      <c r="G596" s="3"/>
      <c r="H596" s="3"/>
      <c r="I596" s="4"/>
      <c r="J596" s="4"/>
      <c r="K596" s="4"/>
      <c r="L596" s="4"/>
      <c r="M596" s="4"/>
      <c r="N596" s="126"/>
      <c r="O596" s="7"/>
      <c r="P596" s="3"/>
      <c r="Q596" s="3"/>
      <c r="R596" s="1"/>
    </row>
    <row r="597" spans="1:18" ht="15.75" customHeight="1" x14ac:dyDescent="0.2">
      <c r="A597" s="2"/>
      <c r="B597" s="9"/>
      <c r="C597" s="3"/>
      <c r="D597" s="3"/>
      <c r="E597" s="3"/>
      <c r="F597" s="3"/>
      <c r="G597" s="3"/>
      <c r="H597" s="3"/>
      <c r="I597" s="4"/>
      <c r="J597" s="4"/>
      <c r="K597" s="4"/>
      <c r="L597" s="4"/>
      <c r="M597" s="4"/>
      <c r="N597" s="126"/>
      <c r="O597" s="7"/>
      <c r="P597" s="3"/>
      <c r="Q597" s="3"/>
      <c r="R597" s="1"/>
    </row>
    <row r="598" spans="1:18" ht="15.75" customHeight="1" x14ac:dyDescent="0.2">
      <c r="A598" s="2"/>
      <c r="B598" s="9"/>
      <c r="C598" s="3"/>
      <c r="D598" s="3"/>
      <c r="E598" s="3"/>
      <c r="F598" s="3"/>
      <c r="G598" s="3"/>
      <c r="H598" s="3"/>
      <c r="I598" s="4"/>
      <c r="J598" s="4"/>
      <c r="K598" s="4"/>
      <c r="L598" s="4"/>
      <c r="M598" s="4"/>
      <c r="N598" s="126"/>
      <c r="O598" s="7"/>
      <c r="P598" s="3"/>
      <c r="Q598" s="3"/>
      <c r="R598" s="1"/>
    </row>
    <row r="599" spans="1:18" ht="15.75" customHeight="1" x14ac:dyDescent="0.2">
      <c r="A599" s="2"/>
      <c r="B599" s="9"/>
      <c r="C599" s="3"/>
      <c r="D599" s="3"/>
      <c r="E599" s="3"/>
      <c r="F599" s="3"/>
      <c r="G599" s="3"/>
      <c r="H599" s="3"/>
      <c r="I599" s="4"/>
      <c r="J599" s="4"/>
      <c r="K599" s="4"/>
      <c r="L599" s="4"/>
      <c r="M599" s="4"/>
      <c r="N599" s="126"/>
      <c r="O599" s="7"/>
      <c r="P599" s="3"/>
      <c r="Q599" s="3"/>
      <c r="R599" s="1"/>
    </row>
    <row r="600" spans="1:18" ht="15.75" customHeight="1" x14ac:dyDescent="0.2">
      <c r="A600" s="2"/>
      <c r="B600" s="9"/>
      <c r="C600" s="3"/>
      <c r="D600" s="3"/>
      <c r="E600" s="3"/>
      <c r="F600" s="3"/>
      <c r="G600" s="3"/>
      <c r="H600" s="3"/>
      <c r="I600" s="4"/>
      <c r="J600" s="4"/>
      <c r="K600" s="4"/>
      <c r="L600" s="4"/>
      <c r="M600" s="4"/>
      <c r="N600" s="126"/>
      <c r="O600" s="7"/>
      <c r="P600" s="3"/>
      <c r="Q600" s="3"/>
      <c r="R600" s="1"/>
    </row>
    <row r="601" spans="1:18" ht="15.75" customHeight="1" x14ac:dyDescent="0.2">
      <c r="A601" s="2"/>
      <c r="B601" s="9"/>
      <c r="C601" s="3"/>
      <c r="D601" s="3"/>
      <c r="E601" s="3"/>
      <c r="F601" s="3"/>
      <c r="G601" s="3"/>
      <c r="H601" s="3"/>
      <c r="I601" s="4"/>
      <c r="J601" s="4"/>
      <c r="K601" s="4"/>
      <c r="L601" s="4"/>
      <c r="M601" s="4"/>
      <c r="N601" s="126"/>
      <c r="O601" s="7"/>
      <c r="P601" s="3"/>
      <c r="Q601" s="3"/>
      <c r="R601" s="1"/>
    </row>
    <row r="602" spans="1:18" ht="15.75" customHeight="1" x14ac:dyDescent="0.2">
      <c r="A602" s="2"/>
      <c r="B602" s="9"/>
      <c r="C602" s="3"/>
      <c r="D602" s="3"/>
      <c r="E602" s="3"/>
      <c r="F602" s="3"/>
      <c r="G602" s="3"/>
      <c r="H602" s="3"/>
      <c r="I602" s="4"/>
      <c r="J602" s="4"/>
      <c r="K602" s="4"/>
      <c r="L602" s="4"/>
      <c r="M602" s="4"/>
      <c r="N602" s="126"/>
      <c r="O602" s="7"/>
      <c r="P602" s="3"/>
      <c r="Q602" s="3"/>
      <c r="R602" s="1"/>
    </row>
    <row r="603" spans="1:18" ht="15.75" customHeight="1" x14ac:dyDescent="0.2">
      <c r="A603" s="2"/>
      <c r="B603" s="9"/>
      <c r="C603" s="3"/>
      <c r="D603" s="3"/>
      <c r="E603" s="3"/>
      <c r="F603" s="3"/>
      <c r="G603" s="3"/>
      <c r="H603" s="3"/>
      <c r="I603" s="4"/>
      <c r="J603" s="4"/>
      <c r="K603" s="4"/>
      <c r="L603" s="4"/>
      <c r="M603" s="4"/>
      <c r="N603" s="126"/>
      <c r="O603" s="7"/>
      <c r="P603" s="3"/>
      <c r="Q603" s="3"/>
      <c r="R603" s="1"/>
    </row>
    <row r="604" spans="1:18" ht="15.75" customHeight="1" x14ac:dyDescent="0.2">
      <c r="A604" s="2"/>
      <c r="B604" s="9"/>
      <c r="C604" s="3"/>
      <c r="D604" s="3"/>
      <c r="E604" s="3"/>
      <c r="F604" s="3"/>
      <c r="G604" s="3"/>
      <c r="H604" s="3"/>
      <c r="I604" s="4"/>
      <c r="J604" s="4"/>
      <c r="K604" s="4"/>
      <c r="L604" s="4"/>
      <c r="M604" s="4"/>
      <c r="N604" s="126"/>
      <c r="O604" s="7"/>
      <c r="P604" s="3"/>
      <c r="Q604" s="3"/>
      <c r="R604" s="1"/>
    </row>
    <row r="605" spans="1:18" ht="15.75" customHeight="1" x14ac:dyDescent="0.2">
      <c r="A605" s="2"/>
      <c r="B605" s="9"/>
      <c r="C605" s="3"/>
      <c r="D605" s="3"/>
      <c r="E605" s="3"/>
      <c r="F605" s="3"/>
      <c r="G605" s="3"/>
      <c r="H605" s="3"/>
      <c r="I605" s="4"/>
      <c r="J605" s="4"/>
      <c r="K605" s="4"/>
      <c r="L605" s="4"/>
      <c r="M605" s="4"/>
      <c r="N605" s="126"/>
      <c r="O605" s="7"/>
      <c r="P605" s="3"/>
      <c r="Q605" s="3"/>
      <c r="R605" s="1"/>
    </row>
    <row r="606" spans="1:18" ht="15.75" customHeight="1" x14ac:dyDescent="0.2">
      <c r="A606" s="2"/>
      <c r="B606" s="9"/>
      <c r="C606" s="3"/>
      <c r="D606" s="3"/>
      <c r="E606" s="3"/>
      <c r="F606" s="3"/>
      <c r="G606" s="3"/>
      <c r="H606" s="3"/>
      <c r="I606" s="4"/>
      <c r="J606" s="4"/>
      <c r="K606" s="4"/>
      <c r="L606" s="4"/>
      <c r="M606" s="4"/>
      <c r="N606" s="126"/>
      <c r="O606" s="7"/>
      <c r="P606" s="3"/>
      <c r="Q606" s="3"/>
      <c r="R606" s="1"/>
    </row>
    <row r="607" spans="1:18" ht="15.75" customHeight="1" x14ac:dyDescent="0.2">
      <c r="A607" s="2"/>
      <c r="B607" s="9"/>
      <c r="C607" s="3"/>
      <c r="D607" s="3"/>
      <c r="E607" s="3"/>
      <c r="F607" s="3"/>
      <c r="G607" s="3"/>
      <c r="H607" s="3"/>
      <c r="I607" s="4"/>
      <c r="J607" s="4"/>
      <c r="K607" s="4"/>
      <c r="L607" s="4"/>
      <c r="M607" s="4"/>
      <c r="N607" s="126"/>
      <c r="O607" s="7"/>
      <c r="P607" s="3"/>
      <c r="Q607" s="3"/>
      <c r="R607" s="1"/>
    </row>
    <row r="608" spans="1:18" ht="15.75" customHeight="1" x14ac:dyDescent="0.2">
      <c r="A608" s="2"/>
      <c r="B608" s="9"/>
      <c r="C608" s="3"/>
      <c r="D608" s="3"/>
      <c r="E608" s="3"/>
      <c r="F608" s="3"/>
      <c r="G608" s="3"/>
      <c r="H608" s="3"/>
      <c r="I608" s="4"/>
      <c r="J608" s="4"/>
      <c r="K608" s="4"/>
      <c r="L608" s="4"/>
      <c r="M608" s="4"/>
      <c r="N608" s="126"/>
      <c r="O608" s="7"/>
      <c r="P608" s="3"/>
      <c r="Q608" s="3"/>
      <c r="R608" s="1"/>
    </row>
    <row r="609" spans="1:18" ht="15.75" customHeight="1" x14ac:dyDescent="0.2">
      <c r="A609" s="2"/>
      <c r="B609" s="9"/>
      <c r="C609" s="3"/>
      <c r="D609" s="3"/>
      <c r="E609" s="3"/>
      <c r="F609" s="3"/>
      <c r="G609" s="3"/>
      <c r="H609" s="3"/>
      <c r="I609" s="4"/>
      <c r="J609" s="4"/>
      <c r="K609" s="4"/>
      <c r="L609" s="4"/>
      <c r="M609" s="4"/>
      <c r="N609" s="126"/>
      <c r="O609" s="7"/>
      <c r="P609" s="3"/>
      <c r="Q609" s="3"/>
      <c r="R609" s="1"/>
    </row>
    <row r="610" spans="1:18" ht="15.75" customHeight="1" x14ac:dyDescent="0.2">
      <c r="A610" s="2"/>
      <c r="B610" s="9"/>
      <c r="C610" s="3"/>
      <c r="D610" s="3"/>
      <c r="E610" s="3"/>
      <c r="F610" s="3"/>
      <c r="G610" s="3"/>
      <c r="H610" s="3"/>
      <c r="I610" s="4"/>
      <c r="J610" s="4"/>
      <c r="K610" s="4"/>
      <c r="L610" s="4"/>
      <c r="M610" s="4"/>
      <c r="N610" s="126"/>
      <c r="O610" s="7"/>
      <c r="P610" s="3"/>
      <c r="Q610" s="3"/>
      <c r="R610" s="1"/>
    </row>
    <row r="611" spans="1:18" ht="15.75" customHeight="1" x14ac:dyDescent="0.2">
      <c r="A611" s="2"/>
      <c r="B611" s="9"/>
      <c r="C611" s="3"/>
      <c r="D611" s="3"/>
      <c r="E611" s="3"/>
      <c r="F611" s="3"/>
      <c r="G611" s="3"/>
      <c r="H611" s="3"/>
      <c r="I611" s="4"/>
      <c r="J611" s="4"/>
      <c r="K611" s="4"/>
      <c r="L611" s="4"/>
      <c r="M611" s="4"/>
      <c r="N611" s="126"/>
      <c r="O611" s="7"/>
      <c r="P611" s="3"/>
      <c r="Q611" s="3"/>
      <c r="R611" s="1"/>
    </row>
    <row r="612" spans="1:18" ht="15.75" customHeight="1" x14ac:dyDescent="0.2">
      <c r="A612" s="2"/>
      <c r="B612" s="9"/>
      <c r="C612" s="3"/>
      <c r="D612" s="3"/>
      <c r="E612" s="3"/>
      <c r="F612" s="3"/>
      <c r="G612" s="3"/>
      <c r="H612" s="3"/>
      <c r="I612" s="4"/>
      <c r="J612" s="4"/>
      <c r="K612" s="4"/>
      <c r="L612" s="4"/>
      <c r="M612" s="4"/>
      <c r="N612" s="126"/>
      <c r="O612" s="7"/>
      <c r="P612" s="3"/>
      <c r="Q612" s="3"/>
      <c r="R612" s="1"/>
    </row>
    <row r="613" spans="1:18" ht="15.75" customHeight="1" x14ac:dyDescent="0.2">
      <c r="A613" s="2"/>
      <c r="B613" s="9"/>
      <c r="C613" s="3"/>
      <c r="D613" s="3"/>
      <c r="E613" s="3"/>
      <c r="F613" s="3"/>
      <c r="G613" s="3"/>
      <c r="H613" s="3"/>
      <c r="I613" s="4"/>
      <c r="J613" s="4"/>
      <c r="K613" s="4"/>
      <c r="L613" s="4"/>
      <c r="M613" s="4"/>
      <c r="N613" s="126"/>
      <c r="O613" s="7"/>
      <c r="P613" s="3"/>
      <c r="Q613" s="3"/>
      <c r="R613" s="1"/>
    </row>
    <row r="614" spans="1:18" ht="15.75" customHeight="1" x14ac:dyDescent="0.2">
      <c r="A614" s="2"/>
      <c r="B614" s="9"/>
      <c r="C614" s="3"/>
      <c r="D614" s="3"/>
      <c r="E614" s="3"/>
      <c r="F614" s="3"/>
      <c r="G614" s="3"/>
      <c r="H614" s="3"/>
      <c r="I614" s="4"/>
      <c r="J614" s="4"/>
      <c r="K614" s="4"/>
      <c r="L614" s="4"/>
      <c r="M614" s="4"/>
      <c r="N614" s="126"/>
      <c r="O614" s="7"/>
      <c r="P614" s="3"/>
      <c r="Q614" s="3"/>
      <c r="R614" s="1"/>
    </row>
    <row r="615" spans="1:18" ht="15.75" customHeight="1" x14ac:dyDescent="0.2">
      <c r="A615" s="2"/>
      <c r="B615" s="9"/>
      <c r="C615" s="3"/>
      <c r="D615" s="3"/>
      <c r="E615" s="3"/>
      <c r="F615" s="3"/>
      <c r="G615" s="3"/>
      <c r="H615" s="3"/>
      <c r="I615" s="4"/>
      <c r="J615" s="4"/>
      <c r="K615" s="4"/>
      <c r="L615" s="4"/>
      <c r="M615" s="4"/>
      <c r="N615" s="126"/>
      <c r="O615" s="7"/>
      <c r="P615" s="3"/>
      <c r="Q615" s="3"/>
      <c r="R615" s="1"/>
    </row>
    <row r="616" spans="1:18" ht="15.75" customHeight="1" x14ac:dyDescent="0.2">
      <c r="A616" s="2"/>
      <c r="B616" s="9"/>
      <c r="C616" s="3"/>
      <c r="D616" s="3"/>
      <c r="E616" s="3"/>
      <c r="F616" s="3"/>
      <c r="G616" s="3"/>
      <c r="H616" s="3"/>
      <c r="I616" s="4"/>
      <c r="J616" s="4"/>
      <c r="K616" s="4"/>
      <c r="L616" s="4"/>
      <c r="M616" s="4"/>
      <c r="N616" s="126"/>
      <c r="O616" s="7"/>
      <c r="P616" s="3"/>
      <c r="Q616" s="3"/>
      <c r="R616" s="1"/>
    </row>
    <row r="617" spans="1:18" ht="15.75" customHeight="1" x14ac:dyDescent="0.2">
      <c r="A617" s="2"/>
      <c r="B617" s="9"/>
      <c r="C617" s="3"/>
      <c r="D617" s="3"/>
      <c r="E617" s="3"/>
      <c r="F617" s="3"/>
      <c r="G617" s="3"/>
      <c r="H617" s="3"/>
      <c r="I617" s="4"/>
      <c r="J617" s="4"/>
      <c r="K617" s="4"/>
      <c r="L617" s="4"/>
      <c r="M617" s="4"/>
      <c r="N617" s="126"/>
      <c r="O617" s="7"/>
      <c r="P617" s="3"/>
      <c r="Q617" s="3"/>
      <c r="R617" s="1"/>
    </row>
    <row r="618" spans="1:18" ht="15.75" customHeight="1" x14ac:dyDescent="0.2">
      <c r="A618" s="2"/>
      <c r="B618" s="9"/>
      <c r="C618" s="3"/>
      <c r="D618" s="3"/>
      <c r="E618" s="3"/>
      <c r="F618" s="3"/>
      <c r="G618" s="3"/>
      <c r="H618" s="3"/>
      <c r="I618" s="4"/>
      <c r="J618" s="4"/>
      <c r="K618" s="4"/>
      <c r="L618" s="4"/>
      <c r="M618" s="4"/>
      <c r="N618" s="126"/>
      <c r="O618" s="7"/>
      <c r="P618" s="3"/>
      <c r="Q618" s="3"/>
      <c r="R618" s="1"/>
    </row>
    <row r="619" spans="1:18" ht="15.75" customHeight="1" x14ac:dyDescent="0.2">
      <c r="A619" s="2"/>
      <c r="B619" s="9"/>
      <c r="C619" s="3"/>
      <c r="D619" s="3"/>
      <c r="E619" s="3"/>
      <c r="F619" s="3"/>
      <c r="G619" s="3"/>
      <c r="H619" s="3"/>
      <c r="I619" s="4"/>
      <c r="J619" s="4"/>
      <c r="K619" s="4"/>
      <c r="L619" s="4"/>
      <c r="M619" s="4"/>
      <c r="N619" s="126"/>
      <c r="O619" s="7"/>
      <c r="P619" s="3"/>
      <c r="Q619" s="3"/>
      <c r="R619" s="1"/>
    </row>
    <row r="620" spans="1:18" ht="15.75" customHeight="1" x14ac:dyDescent="0.2">
      <c r="A620" s="2"/>
      <c r="B620" s="9"/>
      <c r="C620" s="3"/>
      <c r="D620" s="3"/>
      <c r="E620" s="3"/>
      <c r="F620" s="3"/>
      <c r="G620" s="3"/>
      <c r="H620" s="3"/>
      <c r="I620" s="4"/>
      <c r="J620" s="4"/>
      <c r="K620" s="4"/>
      <c r="L620" s="4"/>
      <c r="M620" s="4"/>
      <c r="N620" s="126"/>
      <c r="O620" s="7"/>
      <c r="P620" s="3"/>
      <c r="Q620" s="3"/>
      <c r="R620" s="1"/>
    </row>
    <row r="621" spans="1:18" ht="15.75" customHeight="1" x14ac:dyDescent="0.2">
      <c r="A621" s="2"/>
      <c r="B621" s="9"/>
      <c r="C621" s="3"/>
      <c r="D621" s="3"/>
      <c r="E621" s="3"/>
      <c r="F621" s="3"/>
      <c r="G621" s="3"/>
      <c r="H621" s="3"/>
      <c r="I621" s="4"/>
      <c r="J621" s="4"/>
      <c r="K621" s="4"/>
      <c r="L621" s="4"/>
      <c r="M621" s="4"/>
      <c r="N621" s="126"/>
      <c r="O621" s="7"/>
      <c r="P621" s="3"/>
      <c r="Q621" s="3"/>
      <c r="R621" s="1"/>
    </row>
    <row r="622" spans="1:18" ht="15.75" customHeight="1" x14ac:dyDescent="0.2">
      <c r="A622" s="2"/>
      <c r="B622" s="9"/>
      <c r="C622" s="3"/>
      <c r="D622" s="3"/>
      <c r="E622" s="3"/>
      <c r="F622" s="3"/>
      <c r="G622" s="3"/>
      <c r="H622" s="3"/>
      <c r="I622" s="4"/>
      <c r="J622" s="4"/>
      <c r="K622" s="4"/>
      <c r="L622" s="4"/>
      <c r="M622" s="4"/>
      <c r="N622" s="126"/>
      <c r="O622" s="7"/>
      <c r="P622" s="3"/>
      <c r="Q622" s="3"/>
      <c r="R622" s="1"/>
    </row>
    <row r="623" spans="1:18" ht="15.75" customHeight="1" x14ac:dyDescent="0.2">
      <c r="A623" s="2"/>
      <c r="B623" s="9"/>
      <c r="C623" s="3"/>
      <c r="D623" s="3"/>
      <c r="E623" s="3"/>
      <c r="F623" s="3"/>
      <c r="G623" s="3"/>
      <c r="H623" s="3"/>
      <c r="I623" s="4"/>
      <c r="J623" s="4"/>
      <c r="K623" s="4"/>
      <c r="L623" s="4"/>
      <c r="M623" s="4"/>
      <c r="N623" s="126"/>
      <c r="O623" s="7"/>
      <c r="P623" s="3"/>
      <c r="Q623" s="3"/>
      <c r="R623" s="1"/>
    </row>
    <row r="624" spans="1:18" ht="15.75" customHeight="1" x14ac:dyDescent="0.2">
      <c r="A624" s="2"/>
      <c r="B624" s="9"/>
      <c r="C624" s="3"/>
      <c r="D624" s="3"/>
      <c r="E624" s="3"/>
      <c r="F624" s="3"/>
      <c r="G624" s="3"/>
      <c r="H624" s="3"/>
      <c r="I624" s="4"/>
      <c r="J624" s="4"/>
      <c r="K624" s="4"/>
      <c r="L624" s="4"/>
      <c r="M624" s="4"/>
      <c r="N624" s="126"/>
      <c r="O624" s="7"/>
      <c r="P624" s="3"/>
      <c r="Q624" s="3"/>
      <c r="R624" s="1"/>
    </row>
    <row r="625" spans="1:18" ht="15.75" customHeight="1" x14ac:dyDescent="0.2">
      <c r="A625" s="2"/>
      <c r="B625" s="9"/>
      <c r="C625" s="3"/>
      <c r="D625" s="3"/>
      <c r="E625" s="3"/>
      <c r="F625" s="3"/>
      <c r="G625" s="3"/>
      <c r="H625" s="3"/>
      <c r="I625" s="4"/>
      <c r="J625" s="4"/>
      <c r="K625" s="4"/>
      <c r="L625" s="4"/>
      <c r="M625" s="4"/>
      <c r="N625" s="126"/>
      <c r="O625" s="7"/>
      <c r="P625" s="3"/>
      <c r="Q625" s="3"/>
      <c r="R625" s="1"/>
    </row>
    <row r="626" spans="1:18" ht="15.75" customHeight="1" x14ac:dyDescent="0.2">
      <c r="A626" s="2"/>
      <c r="B626" s="9"/>
      <c r="C626" s="3"/>
      <c r="D626" s="3"/>
      <c r="E626" s="3"/>
      <c r="F626" s="3"/>
      <c r="G626" s="3"/>
      <c r="H626" s="3"/>
      <c r="I626" s="4"/>
      <c r="J626" s="4"/>
      <c r="K626" s="4"/>
      <c r="L626" s="4"/>
      <c r="M626" s="4"/>
      <c r="N626" s="126"/>
      <c r="O626" s="7"/>
      <c r="P626" s="3"/>
      <c r="Q626" s="3"/>
      <c r="R626" s="1"/>
    </row>
    <row r="627" spans="1:18" ht="15.75" customHeight="1" x14ac:dyDescent="0.2">
      <c r="A627" s="2"/>
      <c r="B627" s="9"/>
      <c r="C627" s="3"/>
      <c r="D627" s="3"/>
      <c r="E627" s="3"/>
      <c r="F627" s="3"/>
      <c r="G627" s="3"/>
      <c r="H627" s="3"/>
      <c r="I627" s="4"/>
      <c r="J627" s="4"/>
      <c r="K627" s="4"/>
      <c r="L627" s="4"/>
      <c r="M627" s="4"/>
      <c r="N627" s="126"/>
      <c r="O627" s="7"/>
      <c r="P627" s="3"/>
      <c r="Q627" s="3"/>
      <c r="R627" s="1"/>
    </row>
    <row r="628" spans="1:18" ht="15.75" customHeight="1" x14ac:dyDescent="0.2">
      <c r="A628" s="2"/>
      <c r="B628" s="9"/>
      <c r="C628" s="3"/>
      <c r="D628" s="3"/>
      <c r="E628" s="3"/>
      <c r="F628" s="3"/>
      <c r="G628" s="3"/>
      <c r="H628" s="3"/>
      <c r="I628" s="4"/>
      <c r="J628" s="4"/>
      <c r="K628" s="4"/>
      <c r="L628" s="4"/>
      <c r="M628" s="4"/>
      <c r="N628" s="126"/>
      <c r="O628" s="7"/>
      <c r="P628" s="3"/>
      <c r="Q628" s="3"/>
      <c r="R628" s="1"/>
    </row>
    <row r="629" spans="1:18" ht="15.75" customHeight="1" x14ac:dyDescent="0.2">
      <c r="A629" s="2"/>
      <c r="B629" s="9"/>
      <c r="C629" s="3"/>
      <c r="D629" s="3"/>
      <c r="E629" s="3"/>
      <c r="F629" s="3"/>
      <c r="G629" s="3"/>
      <c r="H629" s="3"/>
      <c r="I629" s="4"/>
      <c r="J629" s="4"/>
      <c r="K629" s="4"/>
      <c r="L629" s="4"/>
      <c r="M629" s="4"/>
      <c r="N629" s="126"/>
      <c r="O629" s="7"/>
      <c r="P629" s="3"/>
      <c r="Q629" s="3"/>
      <c r="R629" s="1"/>
    </row>
    <row r="630" spans="1:18" ht="15.75" customHeight="1" x14ac:dyDescent="0.2">
      <c r="A630" s="2"/>
      <c r="B630" s="9"/>
      <c r="C630" s="3"/>
      <c r="D630" s="3"/>
      <c r="E630" s="3"/>
      <c r="F630" s="3"/>
      <c r="G630" s="3"/>
      <c r="H630" s="3"/>
      <c r="I630" s="4"/>
      <c r="J630" s="4"/>
      <c r="K630" s="4"/>
      <c r="L630" s="4"/>
      <c r="M630" s="4"/>
      <c r="N630" s="126"/>
      <c r="O630" s="7"/>
      <c r="P630" s="3"/>
      <c r="Q630" s="3"/>
      <c r="R630" s="1"/>
    </row>
    <row r="631" spans="1:18" ht="15.75" customHeight="1" x14ac:dyDescent="0.2">
      <c r="A631" s="2"/>
      <c r="B631" s="9"/>
      <c r="C631" s="3"/>
      <c r="D631" s="3"/>
      <c r="E631" s="3"/>
      <c r="F631" s="3"/>
      <c r="G631" s="3"/>
      <c r="H631" s="3"/>
      <c r="I631" s="4"/>
      <c r="J631" s="4"/>
      <c r="K631" s="4"/>
      <c r="L631" s="4"/>
      <c r="M631" s="4"/>
      <c r="N631" s="126"/>
      <c r="O631" s="7"/>
      <c r="P631" s="3"/>
      <c r="Q631" s="3"/>
      <c r="R631" s="1"/>
    </row>
    <row r="632" spans="1:18" ht="15.75" customHeight="1" x14ac:dyDescent="0.2">
      <c r="A632" s="2"/>
      <c r="B632" s="9"/>
      <c r="C632" s="3"/>
      <c r="D632" s="3"/>
      <c r="E632" s="3"/>
      <c r="F632" s="3"/>
      <c r="G632" s="3"/>
      <c r="H632" s="3"/>
      <c r="I632" s="4"/>
      <c r="J632" s="4"/>
      <c r="K632" s="4"/>
      <c r="L632" s="4"/>
      <c r="M632" s="4"/>
      <c r="N632" s="126"/>
      <c r="O632" s="7"/>
      <c r="P632" s="3"/>
      <c r="Q632" s="3"/>
      <c r="R632" s="1"/>
    </row>
    <row r="633" spans="1:18" ht="15.75" customHeight="1" x14ac:dyDescent="0.2">
      <c r="A633" s="2"/>
      <c r="B633" s="9"/>
      <c r="C633" s="3"/>
      <c r="D633" s="3"/>
      <c r="E633" s="3"/>
      <c r="F633" s="3"/>
      <c r="G633" s="3"/>
      <c r="H633" s="3"/>
      <c r="I633" s="4"/>
      <c r="J633" s="4"/>
      <c r="K633" s="4"/>
      <c r="L633" s="4"/>
      <c r="M633" s="4"/>
      <c r="N633" s="126"/>
      <c r="O633" s="7"/>
      <c r="P633" s="3"/>
      <c r="Q633" s="3"/>
      <c r="R633" s="1"/>
    </row>
    <row r="634" spans="1:18" ht="15.75" customHeight="1" x14ac:dyDescent="0.2">
      <c r="A634" s="2"/>
      <c r="B634" s="9"/>
      <c r="C634" s="3"/>
      <c r="D634" s="3"/>
      <c r="E634" s="3"/>
      <c r="F634" s="3"/>
      <c r="G634" s="3"/>
      <c r="H634" s="3"/>
      <c r="I634" s="4"/>
      <c r="J634" s="4"/>
      <c r="K634" s="4"/>
      <c r="L634" s="4"/>
      <c r="M634" s="4"/>
      <c r="N634" s="126"/>
      <c r="O634" s="7"/>
      <c r="P634" s="3"/>
      <c r="Q634" s="3"/>
      <c r="R634" s="1"/>
    </row>
    <row r="635" spans="1:18" ht="15.75" customHeight="1" x14ac:dyDescent="0.2">
      <c r="A635" s="2"/>
      <c r="B635" s="9"/>
      <c r="C635" s="3"/>
      <c r="D635" s="3"/>
      <c r="E635" s="3"/>
      <c r="F635" s="3"/>
      <c r="G635" s="3"/>
      <c r="H635" s="3"/>
      <c r="I635" s="4"/>
      <c r="J635" s="4"/>
      <c r="K635" s="4"/>
      <c r="L635" s="4"/>
      <c r="M635" s="4"/>
      <c r="N635" s="126"/>
      <c r="O635" s="7"/>
      <c r="P635" s="3"/>
      <c r="Q635" s="3"/>
      <c r="R635" s="1"/>
    </row>
    <row r="636" spans="1:18" ht="15.75" customHeight="1" x14ac:dyDescent="0.2">
      <c r="A636" s="2"/>
      <c r="B636" s="9"/>
      <c r="C636" s="3"/>
      <c r="D636" s="3"/>
      <c r="E636" s="3"/>
      <c r="F636" s="3"/>
      <c r="G636" s="3"/>
      <c r="H636" s="3"/>
      <c r="I636" s="4"/>
      <c r="J636" s="4"/>
      <c r="K636" s="4"/>
      <c r="L636" s="4"/>
      <c r="M636" s="4"/>
      <c r="N636" s="126"/>
      <c r="O636" s="7"/>
      <c r="P636" s="3"/>
      <c r="Q636" s="3"/>
      <c r="R636" s="1"/>
    </row>
    <row r="637" spans="1:18" ht="15.75" customHeight="1" x14ac:dyDescent="0.2">
      <c r="A637" s="2"/>
      <c r="B637" s="9"/>
      <c r="C637" s="3"/>
      <c r="D637" s="3"/>
      <c r="E637" s="3"/>
      <c r="F637" s="3"/>
      <c r="G637" s="3"/>
      <c r="H637" s="3"/>
      <c r="I637" s="4"/>
      <c r="J637" s="4"/>
      <c r="K637" s="4"/>
      <c r="L637" s="4"/>
      <c r="M637" s="4"/>
      <c r="N637" s="126"/>
      <c r="O637" s="7"/>
      <c r="P637" s="3"/>
      <c r="Q637" s="3"/>
      <c r="R637" s="1"/>
    </row>
    <row r="638" spans="1:18" ht="15.75" customHeight="1" x14ac:dyDescent="0.2">
      <c r="A638" s="2"/>
      <c r="B638" s="9"/>
      <c r="C638" s="3"/>
      <c r="D638" s="3"/>
      <c r="E638" s="3"/>
      <c r="F638" s="3"/>
      <c r="G638" s="3"/>
      <c r="H638" s="3"/>
      <c r="I638" s="4"/>
      <c r="J638" s="4"/>
      <c r="K638" s="4"/>
      <c r="L638" s="4"/>
      <c r="M638" s="4"/>
      <c r="N638" s="126"/>
      <c r="O638" s="7"/>
      <c r="P638" s="3"/>
      <c r="Q638" s="3"/>
      <c r="R638" s="1"/>
    </row>
    <row r="639" spans="1:18" ht="15.75" customHeight="1" x14ac:dyDescent="0.2">
      <c r="A639" s="2"/>
      <c r="B639" s="9"/>
      <c r="C639" s="3"/>
      <c r="D639" s="3"/>
      <c r="E639" s="3"/>
      <c r="F639" s="3"/>
      <c r="G639" s="3"/>
      <c r="H639" s="3"/>
      <c r="I639" s="4"/>
      <c r="J639" s="4"/>
      <c r="K639" s="4"/>
      <c r="L639" s="4"/>
      <c r="M639" s="4"/>
      <c r="N639" s="126"/>
      <c r="O639" s="7"/>
      <c r="P639" s="3"/>
      <c r="Q639" s="3"/>
      <c r="R639" s="1"/>
    </row>
    <row r="640" spans="1:18" ht="15.75" customHeight="1" x14ac:dyDescent="0.2">
      <c r="A640" s="2"/>
      <c r="B640" s="9"/>
      <c r="C640" s="3"/>
      <c r="D640" s="3"/>
      <c r="E640" s="3"/>
      <c r="F640" s="3"/>
      <c r="G640" s="3"/>
      <c r="H640" s="3"/>
      <c r="I640" s="4"/>
      <c r="J640" s="4"/>
      <c r="K640" s="4"/>
      <c r="L640" s="4"/>
      <c r="M640" s="4"/>
      <c r="N640" s="126"/>
      <c r="O640" s="7"/>
      <c r="P640" s="3"/>
      <c r="Q640" s="3"/>
      <c r="R640" s="1"/>
    </row>
    <row r="641" spans="1:18" ht="15.75" customHeight="1" x14ac:dyDescent="0.2">
      <c r="A641" s="2"/>
      <c r="B641" s="9"/>
      <c r="C641" s="3"/>
      <c r="D641" s="3"/>
      <c r="E641" s="3"/>
      <c r="F641" s="3"/>
      <c r="G641" s="3"/>
      <c r="H641" s="3"/>
      <c r="I641" s="4"/>
      <c r="J641" s="4"/>
      <c r="K641" s="4"/>
      <c r="L641" s="4"/>
      <c r="M641" s="4"/>
      <c r="N641" s="126"/>
      <c r="O641" s="7"/>
      <c r="P641" s="3"/>
      <c r="Q641" s="3"/>
      <c r="R641" s="1"/>
    </row>
    <row r="642" spans="1:18" ht="15.75" customHeight="1" x14ac:dyDescent="0.2">
      <c r="A642" s="2"/>
      <c r="B642" s="9"/>
      <c r="C642" s="3"/>
      <c r="D642" s="3"/>
      <c r="E642" s="3"/>
      <c r="F642" s="3"/>
      <c r="G642" s="3"/>
      <c r="H642" s="3"/>
      <c r="I642" s="4"/>
      <c r="J642" s="4"/>
      <c r="K642" s="4"/>
      <c r="L642" s="4"/>
      <c r="M642" s="4"/>
      <c r="N642" s="126"/>
      <c r="O642" s="7"/>
      <c r="P642" s="3"/>
      <c r="Q642" s="3"/>
      <c r="R642" s="1"/>
    </row>
    <row r="643" spans="1:18" ht="15.75" customHeight="1" x14ac:dyDescent="0.2">
      <c r="A643" s="2"/>
      <c r="B643" s="9"/>
      <c r="C643" s="3"/>
      <c r="D643" s="3"/>
      <c r="E643" s="3"/>
      <c r="F643" s="3"/>
      <c r="G643" s="3"/>
      <c r="H643" s="3"/>
      <c r="I643" s="4"/>
      <c r="J643" s="4"/>
      <c r="K643" s="4"/>
      <c r="L643" s="4"/>
      <c r="M643" s="4"/>
      <c r="N643" s="126"/>
      <c r="O643" s="7"/>
      <c r="P643" s="3"/>
      <c r="Q643" s="3"/>
      <c r="R643" s="1"/>
    </row>
    <row r="644" spans="1:18" ht="15.75" customHeight="1" x14ac:dyDescent="0.2">
      <c r="A644" s="2"/>
      <c r="B644" s="9"/>
      <c r="C644" s="3"/>
      <c r="D644" s="3"/>
      <c r="E644" s="3"/>
      <c r="F644" s="3"/>
      <c r="G644" s="3"/>
      <c r="H644" s="3"/>
      <c r="I644" s="4"/>
      <c r="J644" s="4"/>
      <c r="K644" s="4"/>
      <c r="L644" s="4"/>
      <c r="M644" s="4"/>
      <c r="N644" s="126"/>
      <c r="O644" s="7"/>
      <c r="P644" s="3"/>
      <c r="Q644" s="3"/>
      <c r="R644" s="1"/>
    </row>
    <row r="645" spans="1:18" ht="15.75" customHeight="1" x14ac:dyDescent="0.2">
      <c r="A645" s="2"/>
      <c r="B645" s="9"/>
      <c r="C645" s="3"/>
      <c r="D645" s="3"/>
      <c r="E645" s="3"/>
      <c r="F645" s="3"/>
      <c r="G645" s="3"/>
      <c r="H645" s="3"/>
      <c r="I645" s="4"/>
      <c r="J645" s="4"/>
      <c r="K645" s="4"/>
      <c r="L645" s="4"/>
      <c r="M645" s="4"/>
      <c r="N645" s="126"/>
      <c r="O645" s="7"/>
      <c r="P645" s="3"/>
      <c r="Q645" s="3"/>
      <c r="R645" s="1"/>
    </row>
    <row r="646" spans="1:18" ht="15.75" customHeight="1" x14ac:dyDescent="0.2">
      <c r="A646" s="2"/>
      <c r="B646" s="9"/>
      <c r="C646" s="3"/>
      <c r="D646" s="3"/>
      <c r="E646" s="3"/>
      <c r="F646" s="3"/>
      <c r="G646" s="3"/>
      <c r="H646" s="3"/>
      <c r="I646" s="4"/>
      <c r="J646" s="4"/>
      <c r="K646" s="4"/>
      <c r="L646" s="4"/>
      <c r="M646" s="4"/>
      <c r="N646" s="126"/>
      <c r="O646" s="7"/>
      <c r="P646" s="3"/>
      <c r="Q646" s="3"/>
      <c r="R646" s="1"/>
    </row>
    <row r="647" spans="1:18" ht="15.75" customHeight="1" x14ac:dyDescent="0.2">
      <c r="A647" s="2"/>
      <c r="B647" s="9"/>
      <c r="C647" s="3"/>
      <c r="D647" s="3"/>
      <c r="E647" s="3"/>
      <c r="F647" s="3"/>
      <c r="G647" s="3"/>
      <c r="H647" s="3"/>
      <c r="I647" s="4"/>
      <c r="J647" s="4"/>
      <c r="K647" s="4"/>
      <c r="L647" s="4"/>
      <c r="M647" s="4"/>
      <c r="N647" s="126"/>
      <c r="O647" s="7"/>
      <c r="P647" s="3"/>
      <c r="Q647" s="3"/>
      <c r="R647" s="1"/>
    </row>
    <row r="648" spans="1:18" ht="15.75" customHeight="1" x14ac:dyDescent="0.2">
      <c r="A648" s="2"/>
      <c r="B648" s="9"/>
      <c r="C648" s="3"/>
      <c r="D648" s="3"/>
      <c r="E648" s="3"/>
      <c r="F648" s="3"/>
      <c r="G648" s="3"/>
      <c r="H648" s="3"/>
      <c r="I648" s="4"/>
      <c r="J648" s="4"/>
      <c r="K648" s="4"/>
      <c r="L648" s="4"/>
      <c r="M648" s="4"/>
      <c r="N648" s="126"/>
      <c r="O648" s="7"/>
      <c r="P648" s="3"/>
      <c r="Q648" s="3"/>
      <c r="R648" s="1"/>
    </row>
    <row r="649" spans="1:18" ht="15.75" customHeight="1" x14ac:dyDescent="0.2">
      <c r="A649" s="2"/>
      <c r="B649" s="9"/>
      <c r="C649" s="3"/>
      <c r="D649" s="3"/>
      <c r="E649" s="3"/>
      <c r="F649" s="3"/>
      <c r="G649" s="3"/>
      <c r="H649" s="3"/>
      <c r="I649" s="4"/>
      <c r="J649" s="4"/>
      <c r="K649" s="4"/>
      <c r="L649" s="4"/>
      <c r="M649" s="4"/>
      <c r="N649" s="126"/>
      <c r="O649" s="7"/>
      <c r="P649" s="3"/>
      <c r="Q649" s="3"/>
      <c r="R649" s="1"/>
    </row>
    <row r="650" spans="1:18" ht="15.75" customHeight="1" x14ac:dyDescent="0.2">
      <c r="A650" s="2"/>
      <c r="B650" s="9"/>
      <c r="C650" s="3"/>
      <c r="D650" s="3"/>
      <c r="E650" s="3"/>
      <c r="F650" s="3"/>
      <c r="G650" s="3"/>
      <c r="H650" s="3"/>
      <c r="I650" s="4"/>
      <c r="J650" s="4"/>
      <c r="K650" s="4"/>
      <c r="L650" s="4"/>
      <c r="M650" s="4"/>
      <c r="N650" s="126"/>
      <c r="O650" s="7"/>
      <c r="P650" s="3"/>
      <c r="Q650" s="3"/>
      <c r="R650" s="1"/>
    </row>
    <row r="651" spans="1:18" ht="15.75" customHeight="1" x14ac:dyDescent="0.2">
      <c r="A651" s="2"/>
      <c r="B651" s="9"/>
      <c r="C651" s="3"/>
      <c r="D651" s="3"/>
      <c r="E651" s="3"/>
      <c r="F651" s="3"/>
      <c r="G651" s="3"/>
      <c r="H651" s="3"/>
      <c r="I651" s="4"/>
      <c r="J651" s="4"/>
      <c r="K651" s="4"/>
      <c r="L651" s="4"/>
      <c r="M651" s="4"/>
      <c r="N651" s="126"/>
      <c r="O651" s="7"/>
      <c r="P651" s="3"/>
      <c r="Q651" s="3"/>
      <c r="R651" s="1"/>
    </row>
    <row r="652" spans="1:18" ht="15.75" customHeight="1" x14ac:dyDescent="0.2">
      <c r="A652" s="2"/>
      <c r="B652" s="9"/>
      <c r="C652" s="3"/>
      <c r="D652" s="3"/>
      <c r="E652" s="3"/>
      <c r="F652" s="3"/>
      <c r="G652" s="3"/>
      <c r="H652" s="3"/>
      <c r="I652" s="4"/>
      <c r="J652" s="4"/>
      <c r="K652" s="4"/>
      <c r="L652" s="4"/>
      <c r="M652" s="4"/>
      <c r="N652" s="126"/>
      <c r="O652" s="7"/>
      <c r="P652" s="3"/>
      <c r="Q652" s="3"/>
      <c r="R652" s="1"/>
    </row>
    <row r="653" spans="1:18" ht="15.75" customHeight="1" x14ac:dyDescent="0.2">
      <c r="A653" s="2"/>
      <c r="B653" s="9"/>
      <c r="C653" s="3"/>
      <c r="D653" s="3"/>
      <c r="E653" s="3"/>
      <c r="F653" s="3"/>
      <c r="G653" s="3"/>
      <c r="H653" s="3"/>
      <c r="I653" s="4"/>
      <c r="J653" s="4"/>
      <c r="K653" s="4"/>
      <c r="L653" s="4"/>
      <c r="M653" s="4"/>
      <c r="N653" s="126"/>
      <c r="O653" s="7"/>
      <c r="P653" s="3"/>
      <c r="Q653" s="3"/>
      <c r="R653" s="1"/>
    </row>
    <row r="654" spans="1:18" ht="15.75" customHeight="1" x14ac:dyDescent="0.2">
      <c r="A654" s="2"/>
      <c r="B654" s="9"/>
      <c r="C654" s="3"/>
      <c r="D654" s="3"/>
      <c r="E654" s="3"/>
      <c r="F654" s="3"/>
      <c r="G654" s="3"/>
      <c r="H654" s="3"/>
      <c r="I654" s="4"/>
      <c r="J654" s="4"/>
      <c r="K654" s="4"/>
      <c r="L654" s="4"/>
      <c r="M654" s="4"/>
      <c r="N654" s="126"/>
      <c r="O654" s="7"/>
      <c r="P654" s="3"/>
      <c r="Q654" s="3"/>
      <c r="R654" s="1"/>
    </row>
    <row r="655" spans="1:18" ht="15.75" customHeight="1" x14ac:dyDescent="0.2">
      <c r="A655" s="2"/>
      <c r="B655" s="9"/>
      <c r="C655" s="3"/>
      <c r="D655" s="3"/>
      <c r="E655" s="3"/>
      <c r="F655" s="3"/>
      <c r="G655" s="3"/>
      <c r="H655" s="3"/>
      <c r="I655" s="4"/>
      <c r="J655" s="4"/>
      <c r="K655" s="4"/>
      <c r="L655" s="4"/>
      <c r="M655" s="4"/>
      <c r="N655" s="126"/>
      <c r="O655" s="7"/>
      <c r="P655" s="3"/>
      <c r="Q655" s="3"/>
      <c r="R655" s="1"/>
    </row>
    <row r="656" spans="1:18" ht="15.75" customHeight="1" x14ac:dyDescent="0.2">
      <c r="A656" s="2"/>
      <c r="B656" s="9"/>
      <c r="C656" s="3"/>
      <c r="D656" s="3"/>
      <c r="E656" s="3"/>
      <c r="F656" s="3"/>
      <c r="G656" s="3"/>
      <c r="H656" s="3"/>
      <c r="I656" s="4"/>
      <c r="J656" s="4"/>
      <c r="K656" s="4"/>
      <c r="L656" s="4"/>
      <c r="M656" s="4"/>
      <c r="N656" s="126"/>
      <c r="O656" s="7"/>
      <c r="P656" s="3"/>
      <c r="Q656" s="3"/>
      <c r="R656" s="1"/>
    </row>
    <row r="657" spans="1:18" ht="15.75" customHeight="1" x14ac:dyDescent="0.2">
      <c r="A657" s="2"/>
      <c r="B657" s="9"/>
      <c r="C657" s="3"/>
      <c r="D657" s="3"/>
      <c r="E657" s="3"/>
      <c r="F657" s="3"/>
      <c r="G657" s="3"/>
      <c r="H657" s="3"/>
      <c r="I657" s="4"/>
      <c r="J657" s="4"/>
      <c r="K657" s="4"/>
      <c r="L657" s="4"/>
      <c r="M657" s="4"/>
      <c r="N657" s="126"/>
      <c r="O657" s="7"/>
      <c r="P657" s="3"/>
      <c r="Q657" s="3"/>
      <c r="R657" s="1"/>
    </row>
    <row r="658" spans="1:18" ht="15.75" customHeight="1" x14ac:dyDescent="0.2">
      <c r="A658" s="2"/>
      <c r="B658" s="9"/>
      <c r="C658" s="3"/>
      <c r="D658" s="3"/>
      <c r="E658" s="3"/>
      <c r="F658" s="3"/>
      <c r="G658" s="3"/>
      <c r="H658" s="3"/>
      <c r="I658" s="4"/>
      <c r="J658" s="4"/>
      <c r="K658" s="4"/>
      <c r="L658" s="4"/>
      <c r="M658" s="4"/>
      <c r="N658" s="126"/>
      <c r="O658" s="7"/>
      <c r="P658" s="3"/>
      <c r="Q658" s="3"/>
      <c r="R658" s="1"/>
    </row>
    <row r="659" spans="1:18" ht="15.75" customHeight="1" x14ac:dyDescent="0.2">
      <c r="A659" s="2"/>
      <c r="B659" s="9"/>
      <c r="C659" s="3"/>
      <c r="D659" s="3"/>
      <c r="E659" s="3"/>
      <c r="F659" s="3"/>
      <c r="G659" s="3"/>
      <c r="H659" s="3"/>
      <c r="I659" s="4"/>
      <c r="J659" s="4"/>
      <c r="K659" s="4"/>
      <c r="L659" s="4"/>
      <c r="M659" s="4"/>
      <c r="N659" s="126"/>
      <c r="O659" s="7"/>
      <c r="P659" s="3"/>
      <c r="Q659" s="3"/>
      <c r="R659" s="1"/>
    </row>
    <row r="660" spans="1:18" ht="15.75" customHeight="1" x14ac:dyDescent="0.2">
      <c r="A660" s="2"/>
      <c r="B660" s="9"/>
      <c r="C660" s="3"/>
      <c r="D660" s="3"/>
      <c r="E660" s="3"/>
      <c r="F660" s="3"/>
      <c r="G660" s="3"/>
      <c r="H660" s="3"/>
      <c r="I660" s="4"/>
      <c r="J660" s="4"/>
      <c r="K660" s="4"/>
      <c r="L660" s="4"/>
      <c r="M660" s="4"/>
      <c r="N660" s="126"/>
      <c r="O660" s="7"/>
      <c r="P660" s="3"/>
      <c r="Q660" s="3"/>
      <c r="R660" s="1"/>
    </row>
    <row r="661" spans="1:18" ht="15.75" customHeight="1" x14ac:dyDescent="0.2">
      <c r="A661" s="2"/>
      <c r="B661" s="9"/>
      <c r="C661" s="3"/>
      <c r="D661" s="3"/>
      <c r="E661" s="3"/>
      <c r="F661" s="3"/>
      <c r="G661" s="3"/>
      <c r="H661" s="3"/>
      <c r="I661" s="4"/>
      <c r="J661" s="4"/>
      <c r="K661" s="4"/>
      <c r="L661" s="4"/>
      <c r="M661" s="4"/>
      <c r="N661" s="126"/>
      <c r="O661" s="7"/>
      <c r="P661" s="3"/>
      <c r="Q661" s="3"/>
      <c r="R661" s="1"/>
    </row>
    <row r="662" spans="1:18" ht="15.75" customHeight="1" x14ac:dyDescent="0.2">
      <c r="A662" s="2"/>
      <c r="B662" s="9"/>
      <c r="C662" s="3"/>
      <c r="D662" s="3"/>
      <c r="E662" s="3"/>
      <c r="F662" s="3"/>
      <c r="G662" s="3"/>
      <c r="H662" s="3"/>
      <c r="I662" s="4"/>
      <c r="J662" s="4"/>
      <c r="K662" s="4"/>
      <c r="L662" s="4"/>
      <c r="M662" s="4"/>
      <c r="N662" s="126"/>
      <c r="O662" s="7"/>
      <c r="P662" s="3"/>
      <c r="Q662" s="3"/>
      <c r="R662" s="1"/>
    </row>
    <row r="663" spans="1:18" ht="15.75" customHeight="1" x14ac:dyDescent="0.2">
      <c r="A663" s="2"/>
      <c r="B663" s="9"/>
      <c r="C663" s="3"/>
      <c r="D663" s="3"/>
      <c r="E663" s="3"/>
      <c r="F663" s="3"/>
      <c r="G663" s="3"/>
      <c r="H663" s="3"/>
      <c r="I663" s="4"/>
      <c r="J663" s="4"/>
      <c r="K663" s="4"/>
      <c r="L663" s="4"/>
      <c r="M663" s="4"/>
      <c r="N663" s="126"/>
      <c r="O663" s="7"/>
      <c r="P663" s="3"/>
      <c r="Q663" s="3"/>
      <c r="R663" s="1"/>
    </row>
    <row r="664" spans="1:18" ht="15.75" customHeight="1" x14ac:dyDescent="0.2">
      <c r="A664" s="2"/>
      <c r="B664" s="9"/>
      <c r="C664" s="3"/>
      <c r="D664" s="3"/>
      <c r="E664" s="3"/>
      <c r="F664" s="3"/>
      <c r="G664" s="3"/>
      <c r="H664" s="3"/>
      <c r="I664" s="4"/>
      <c r="J664" s="4"/>
      <c r="K664" s="4"/>
      <c r="L664" s="4"/>
      <c r="M664" s="4"/>
      <c r="N664" s="126"/>
      <c r="O664" s="7"/>
      <c r="P664" s="3"/>
      <c r="Q664" s="3"/>
      <c r="R664" s="1"/>
    </row>
    <row r="665" spans="1:18" ht="15.75" customHeight="1" x14ac:dyDescent="0.2">
      <c r="A665" s="2"/>
      <c r="B665" s="9"/>
      <c r="C665" s="3"/>
      <c r="D665" s="3"/>
      <c r="E665" s="3"/>
      <c r="F665" s="3"/>
      <c r="G665" s="3"/>
      <c r="H665" s="3"/>
      <c r="I665" s="4"/>
      <c r="J665" s="4"/>
      <c r="K665" s="4"/>
      <c r="L665" s="4"/>
      <c r="M665" s="4"/>
      <c r="N665" s="126"/>
      <c r="O665" s="7"/>
      <c r="P665" s="3"/>
      <c r="Q665" s="3"/>
      <c r="R665" s="1"/>
    </row>
    <row r="666" spans="1:18" ht="15.75" customHeight="1" x14ac:dyDescent="0.2">
      <c r="A666" s="2"/>
      <c r="B666" s="9"/>
      <c r="C666" s="3"/>
      <c r="D666" s="3"/>
      <c r="E666" s="3"/>
      <c r="F666" s="3"/>
      <c r="G666" s="3"/>
      <c r="H666" s="3"/>
      <c r="I666" s="4"/>
      <c r="J666" s="4"/>
      <c r="K666" s="4"/>
      <c r="L666" s="4"/>
      <c r="M666" s="4"/>
      <c r="N666" s="126"/>
      <c r="O666" s="7"/>
      <c r="P666" s="3"/>
      <c r="Q666" s="3"/>
      <c r="R666" s="1"/>
    </row>
    <row r="667" spans="1:18" ht="15.75" customHeight="1" x14ac:dyDescent="0.2">
      <c r="A667" s="2"/>
      <c r="B667" s="9"/>
      <c r="C667" s="3"/>
      <c r="D667" s="3"/>
      <c r="E667" s="3"/>
      <c r="F667" s="3"/>
      <c r="G667" s="3"/>
      <c r="H667" s="3"/>
      <c r="I667" s="4"/>
      <c r="J667" s="4"/>
      <c r="K667" s="4"/>
      <c r="L667" s="4"/>
      <c r="M667" s="4"/>
      <c r="N667" s="126"/>
      <c r="O667" s="7"/>
      <c r="P667" s="3"/>
      <c r="Q667" s="3"/>
      <c r="R667" s="1"/>
    </row>
    <row r="668" spans="1:18" ht="15.75" customHeight="1" x14ac:dyDescent="0.2">
      <c r="A668" s="2"/>
      <c r="B668" s="9"/>
      <c r="C668" s="3"/>
      <c r="D668" s="3"/>
      <c r="E668" s="3"/>
      <c r="F668" s="3"/>
      <c r="G668" s="3"/>
      <c r="H668" s="3"/>
      <c r="I668" s="4"/>
      <c r="J668" s="4"/>
      <c r="K668" s="4"/>
      <c r="L668" s="4"/>
      <c r="M668" s="4"/>
      <c r="N668" s="126"/>
      <c r="O668" s="7"/>
      <c r="P668" s="3"/>
      <c r="Q668" s="3"/>
      <c r="R668" s="1"/>
    </row>
    <row r="669" spans="1:18" ht="15.75" customHeight="1" x14ac:dyDescent="0.2">
      <c r="A669" s="2"/>
      <c r="B669" s="9"/>
      <c r="C669" s="3"/>
      <c r="D669" s="3"/>
      <c r="E669" s="3"/>
      <c r="F669" s="3"/>
      <c r="G669" s="3"/>
      <c r="H669" s="3"/>
      <c r="I669" s="4"/>
      <c r="J669" s="4"/>
      <c r="K669" s="4"/>
      <c r="L669" s="4"/>
      <c r="M669" s="4"/>
      <c r="N669" s="126"/>
      <c r="O669" s="7"/>
      <c r="P669" s="3"/>
      <c r="Q669" s="3"/>
      <c r="R669" s="1"/>
    </row>
    <row r="670" spans="1:18" ht="15.75" customHeight="1" x14ac:dyDescent="0.2">
      <c r="A670" s="2"/>
      <c r="B670" s="9"/>
      <c r="C670" s="3"/>
      <c r="D670" s="3"/>
      <c r="E670" s="3"/>
      <c r="F670" s="3"/>
      <c r="G670" s="3"/>
      <c r="H670" s="3"/>
      <c r="I670" s="4"/>
      <c r="J670" s="4"/>
      <c r="K670" s="4"/>
      <c r="L670" s="4"/>
      <c r="M670" s="4"/>
      <c r="N670" s="126"/>
      <c r="O670" s="7"/>
      <c r="P670" s="3"/>
      <c r="Q670" s="3"/>
      <c r="R670" s="1"/>
    </row>
    <row r="671" spans="1:18" ht="15.75" customHeight="1" x14ac:dyDescent="0.2">
      <c r="A671" s="2"/>
      <c r="B671" s="9"/>
      <c r="C671" s="3"/>
      <c r="D671" s="3"/>
      <c r="E671" s="3"/>
      <c r="F671" s="3"/>
      <c r="G671" s="3"/>
      <c r="H671" s="3"/>
      <c r="I671" s="4"/>
      <c r="J671" s="4"/>
      <c r="K671" s="4"/>
      <c r="L671" s="4"/>
      <c r="M671" s="4"/>
      <c r="N671" s="126"/>
      <c r="O671" s="7"/>
      <c r="P671" s="3"/>
      <c r="Q671" s="3"/>
      <c r="R671" s="1"/>
    </row>
    <row r="672" spans="1:18" ht="15.75" customHeight="1" x14ac:dyDescent="0.2">
      <c r="A672" s="2"/>
      <c r="B672" s="9"/>
      <c r="C672" s="3"/>
      <c r="D672" s="3"/>
      <c r="E672" s="3"/>
      <c r="F672" s="3"/>
      <c r="G672" s="3"/>
      <c r="H672" s="3"/>
      <c r="I672" s="4"/>
      <c r="J672" s="4"/>
      <c r="K672" s="4"/>
      <c r="L672" s="4"/>
      <c r="M672" s="4"/>
      <c r="N672" s="126"/>
      <c r="O672" s="7"/>
      <c r="P672" s="3"/>
      <c r="Q672" s="3"/>
      <c r="R672" s="1"/>
    </row>
    <row r="673" spans="1:18" ht="15.75" customHeight="1" x14ac:dyDescent="0.2">
      <c r="A673" s="2"/>
      <c r="B673" s="9"/>
      <c r="C673" s="3"/>
      <c r="D673" s="3"/>
      <c r="E673" s="3"/>
      <c r="F673" s="3"/>
      <c r="G673" s="3"/>
      <c r="H673" s="3"/>
      <c r="I673" s="4"/>
      <c r="J673" s="4"/>
      <c r="K673" s="4"/>
      <c r="L673" s="4"/>
      <c r="M673" s="4"/>
      <c r="N673" s="126"/>
      <c r="O673" s="7"/>
      <c r="P673" s="3"/>
      <c r="Q673" s="3"/>
      <c r="R673" s="1"/>
    </row>
    <row r="674" spans="1:18" ht="15.75" customHeight="1" x14ac:dyDescent="0.2">
      <c r="A674" s="2"/>
      <c r="B674" s="9"/>
      <c r="C674" s="3"/>
      <c r="D674" s="3"/>
      <c r="E674" s="3"/>
      <c r="F674" s="3"/>
      <c r="G674" s="3"/>
      <c r="H674" s="3"/>
      <c r="I674" s="4"/>
      <c r="J674" s="4"/>
      <c r="K674" s="4"/>
      <c r="L674" s="4"/>
      <c r="M674" s="4"/>
      <c r="N674" s="126"/>
      <c r="O674" s="7"/>
      <c r="P674" s="3"/>
      <c r="Q674" s="3"/>
      <c r="R674" s="1"/>
    </row>
    <row r="675" spans="1:18" ht="15.75" customHeight="1" x14ac:dyDescent="0.2">
      <c r="A675" s="2"/>
      <c r="B675" s="9"/>
      <c r="C675" s="3"/>
      <c r="D675" s="3"/>
      <c r="E675" s="3"/>
      <c r="F675" s="3"/>
      <c r="G675" s="3"/>
      <c r="H675" s="3"/>
      <c r="I675" s="4"/>
      <c r="J675" s="4"/>
      <c r="K675" s="4"/>
      <c r="L675" s="4"/>
      <c r="M675" s="4"/>
      <c r="N675" s="126"/>
      <c r="O675" s="7"/>
      <c r="P675" s="3"/>
      <c r="Q675" s="3"/>
      <c r="R675" s="1"/>
    </row>
    <row r="676" spans="1:18" ht="15.75" customHeight="1" x14ac:dyDescent="0.2">
      <c r="A676" s="2"/>
      <c r="B676" s="9"/>
      <c r="C676" s="3"/>
      <c r="D676" s="3"/>
      <c r="E676" s="3"/>
      <c r="F676" s="3"/>
      <c r="G676" s="3"/>
      <c r="H676" s="3"/>
      <c r="I676" s="4"/>
      <c r="J676" s="4"/>
      <c r="K676" s="4"/>
      <c r="L676" s="4"/>
      <c r="M676" s="4"/>
      <c r="N676" s="126"/>
      <c r="O676" s="7"/>
      <c r="P676" s="3"/>
      <c r="Q676" s="3"/>
      <c r="R676" s="1"/>
    </row>
    <row r="677" spans="1:18" ht="15.75" customHeight="1" x14ac:dyDescent="0.2">
      <c r="A677" s="2"/>
      <c r="B677" s="9"/>
      <c r="C677" s="3"/>
      <c r="D677" s="3"/>
      <c r="E677" s="3"/>
      <c r="F677" s="3"/>
      <c r="G677" s="3"/>
      <c r="H677" s="3"/>
      <c r="I677" s="4"/>
      <c r="J677" s="4"/>
      <c r="K677" s="4"/>
      <c r="L677" s="4"/>
      <c r="M677" s="4"/>
      <c r="N677" s="126"/>
      <c r="O677" s="7"/>
      <c r="P677" s="3"/>
      <c r="Q677" s="3"/>
      <c r="R677" s="1"/>
    </row>
    <row r="678" spans="1:18" ht="15.75" customHeight="1" x14ac:dyDescent="0.2">
      <c r="A678" s="2"/>
      <c r="B678" s="9"/>
      <c r="C678" s="3"/>
      <c r="D678" s="3"/>
      <c r="E678" s="3"/>
      <c r="F678" s="3"/>
      <c r="G678" s="3"/>
      <c r="H678" s="3"/>
      <c r="I678" s="4"/>
      <c r="J678" s="4"/>
      <c r="K678" s="4"/>
      <c r="L678" s="4"/>
      <c r="M678" s="4"/>
      <c r="N678" s="126"/>
      <c r="O678" s="7"/>
      <c r="P678" s="3"/>
      <c r="Q678" s="3"/>
      <c r="R678" s="1"/>
    </row>
    <row r="679" spans="1:18" ht="15.75" customHeight="1" x14ac:dyDescent="0.2">
      <c r="A679" s="2"/>
      <c r="B679" s="9"/>
      <c r="C679" s="3"/>
      <c r="D679" s="3"/>
      <c r="E679" s="3"/>
      <c r="F679" s="3"/>
      <c r="G679" s="3"/>
      <c r="H679" s="3"/>
      <c r="I679" s="4"/>
      <c r="J679" s="4"/>
      <c r="K679" s="4"/>
      <c r="L679" s="4"/>
      <c r="M679" s="4"/>
      <c r="N679" s="126"/>
      <c r="O679" s="7"/>
      <c r="P679" s="3"/>
      <c r="Q679" s="3"/>
      <c r="R679" s="1"/>
    </row>
    <row r="680" spans="1:18" ht="15.75" customHeight="1" x14ac:dyDescent="0.2">
      <c r="A680" s="2"/>
      <c r="B680" s="9"/>
      <c r="C680" s="3"/>
      <c r="D680" s="3"/>
      <c r="E680" s="3"/>
      <c r="F680" s="3"/>
      <c r="G680" s="3"/>
      <c r="H680" s="3"/>
      <c r="I680" s="4"/>
      <c r="J680" s="4"/>
      <c r="K680" s="4"/>
      <c r="L680" s="4"/>
      <c r="M680" s="4"/>
      <c r="N680" s="126"/>
      <c r="O680" s="7"/>
      <c r="P680" s="3"/>
      <c r="Q680" s="3"/>
      <c r="R680" s="1"/>
    </row>
    <row r="681" spans="1:18" ht="15.75" customHeight="1" x14ac:dyDescent="0.2">
      <c r="A681" s="2"/>
      <c r="B681" s="9"/>
      <c r="C681" s="3"/>
      <c r="D681" s="3"/>
      <c r="E681" s="3"/>
      <c r="F681" s="3"/>
      <c r="G681" s="3"/>
      <c r="H681" s="3"/>
      <c r="I681" s="4"/>
      <c r="J681" s="4"/>
      <c r="K681" s="4"/>
      <c r="L681" s="4"/>
      <c r="M681" s="4"/>
      <c r="N681" s="126"/>
      <c r="O681" s="7"/>
      <c r="P681" s="3"/>
      <c r="Q681" s="3"/>
      <c r="R681" s="1"/>
    </row>
    <row r="682" spans="1:18" ht="15.75" customHeight="1" x14ac:dyDescent="0.2">
      <c r="A682" s="2"/>
      <c r="B682" s="9"/>
      <c r="C682" s="3"/>
      <c r="D682" s="3"/>
      <c r="E682" s="3"/>
      <c r="F682" s="3"/>
      <c r="G682" s="3"/>
      <c r="H682" s="3"/>
      <c r="I682" s="4"/>
      <c r="J682" s="4"/>
      <c r="K682" s="4"/>
      <c r="L682" s="4"/>
      <c r="M682" s="4"/>
      <c r="N682" s="126"/>
      <c r="O682" s="7"/>
      <c r="P682" s="3"/>
      <c r="Q682" s="3"/>
      <c r="R682" s="1"/>
    </row>
    <row r="683" spans="1:18" ht="15.75" customHeight="1" x14ac:dyDescent="0.2">
      <c r="A683" s="2"/>
      <c r="B683" s="9"/>
      <c r="C683" s="3"/>
      <c r="D683" s="3"/>
      <c r="E683" s="3"/>
      <c r="F683" s="3"/>
      <c r="G683" s="3"/>
      <c r="H683" s="3"/>
      <c r="I683" s="4"/>
      <c r="J683" s="4"/>
      <c r="K683" s="4"/>
      <c r="L683" s="4"/>
      <c r="M683" s="4"/>
      <c r="N683" s="126"/>
      <c r="O683" s="7"/>
      <c r="P683" s="3"/>
      <c r="Q683" s="3"/>
      <c r="R683" s="1"/>
    </row>
    <row r="684" spans="1:18" ht="15.75" customHeight="1" x14ac:dyDescent="0.2">
      <c r="A684" s="2"/>
      <c r="B684" s="9"/>
      <c r="C684" s="3"/>
      <c r="D684" s="3"/>
      <c r="E684" s="3"/>
      <c r="F684" s="3"/>
      <c r="G684" s="3"/>
      <c r="H684" s="3"/>
      <c r="I684" s="4"/>
      <c r="J684" s="4"/>
      <c r="K684" s="4"/>
      <c r="L684" s="4"/>
      <c r="M684" s="4"/>
      <c r="N684" s="126"/>
      <c r="O684" s="7"/>
      <c r="P684" s="3"/>
      <c r="Q684" s="3"/>
      <c r="R684" s="1"/>
    </row>
    <row r="685" spans="1:18" ht="15.75" customHeight="1" x14ac:dyDescent="0.2">
      <c r="A685" s="2"/>
      <c r="B685" s="9"/>
      <c r="C685" s="3"/>
      <c r="D685" s="3"/>
      <c r="E685" s="3"/>
      <c r="F685" s="3"/>
      <c r="G685" s="3"/>
      <c r="H685" s="3"/>
      <c r="I685" s="4"/>
      <c r="J685" s="4"/>
      <c r="K685" s="4"/>
      <c r="L685" s="4"/>
      <c r="M685" s="4"/>
      <c r="N685" s="126"/>
      <c r="O685" s="7"/>
      <c r="P685" s="3"/>
      <c r="Q685" s="3"/>
      <c r="R685" s="1"/>
    </row>
    <row r="686" spans="1:18" ht="15.75" customHeight="1" x14ac:dyDescent="0.2">
      <c r="A686" s="2"/>
      <c r="B686" s="9"/>
      <c r="C686" s="3"/>
      <c r="D686" s="3"/>
      <c r="E686" s="3"/>
      <c r="F686" s="3"/>
      <c r="G686" s="3"/>
      <c r="H686" s="3"/>
      <c r="I686" s="4"/>
      <c r="J686" s="4"/>
      <c r="K686" s="4"/>
      <c r="L686" s="4"/>
      <c r="M686" s="4"/>
      <c r="N686" s="126"/>
      <c r="O686" s="7"/>
      <c r="P686" s="3"/>
      <c r="Q686" s="3"/>
      <c r="R686" s="1"/>
    </row>
    <row r="687" spans="1:18" ht="15.75" customHeight="1" x14ac:dyDescent="0.2">
      <c r="A687" s="2"/>
      <c r="B687" s="9"/>
      <c r="C687" s="3"/>
      <c r="E687" s="3"/>
      <c r="F687" s="3"/>
      <c r="G687" s="3"/>
      <c r="H687" s="3"/>
      <c r="I687" s="4"/>
      <c r="J687" s="4"/>
      <c r="K687" s="4"/>
      <c r="L687" s="4"/>
      <c r="M687" s="4"/>
      <c r="N687" s="126"/>
      <c r="O687" s="7"/>
      <c r="P687" s="3"/>
      <c r="Q687" s="3"/>
      <c r="R687" s="1"/>
    </row>
  </sheetData>
  <autoFilter ref="A1:R393" xr:uid="{00000000-0001-0000-0200-000000000000}"/>
  <phoneticPr fontId="10" type="noConversion"/>
  <pageMargins left="0.7" right="0.7" top="0.75" bottom="0.75" header="0" footer="0"/>
  <pageSetup paperSize="9" scale="30" fitToHeight="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F1CDE-6B28-47D8-92CF-B9718EC8A5A3}">
  <sheetPr codeName="Hoja7"/>
  <dimension ref="A1:Q631"/>
  <sheetViews>
    <sheetView zoomScaleNormal="100" workbookViewId="0">
      <pane ySplit="1" topLeftCell="A124" activePane="bottomLeft" state="frozen"/>
      <selection pane="bottomLeft" activeCell="B118" sqref="B118"/>
    </sheetView>
  </sheetViews>
  <sheetFormatPr baseColWidth="10" defaultColWidth="12.625" defaultRowHeight="15" customHeight="1" x14ac:dyDescent="0.25"/>
  <cols>
    <col min="1" max="1" width="11.5" customWidth="1"/>
    <col min="2" max="2" width="10.125" style="45" customWidth="1"/>
    <col min="3" max="3" width="30.375" style="45" customWidth="1"/>
    <col min="4" max="4" width="10" style="46" customWidth="1"/>
    <col min="5" max="5" width="15.5" style="46" customWidth="1"/>
    <col min="6" max="6" width="10.25" style="45" customWidth="1"/>
    <col min="7" max="7" width="23.625" style="46" customWidth="1"/>
    <col min="8" max="8" width="11.5" customWidth="1"/>
    <col min="9" max="9" width="27.25" customWidth="1"/>
    <col min="10" max="10" width="10.25" customWidth="1"/>
    <col min="11" max="11" width="14.375" customWidth="1"/>
    <col min="12" max="12" width="10.25" style="46" customWidth="1"/>
    <col min="13" max="13" width="10.875" style="46" customWidth="1"/>
    <col min="14" max="14" width="11.375" style="264" customWidth="1"/>
    <col min="15" max="15" width="20.75" style="45" customWidth="1"/>
    <col min="16" max="16" width="14.5" customWidth="1"/>
  </cols>
  <sheetData>
    <row r="1" spans="1:17" ht="45" x14ac:dyDescent="0.2">
      <c r="A1" s="44" t="s">
        <v>668</v>
      </c>
      <c r="B1" s="44" t="s">
        <v>370</v>
      </c>
      <c r="C1" s="44" t="s">
        <v>669</v>
      </c>
      <c r="D1" s="44" t="s">
        <v>17</v>
      </c>
      <c r="E1" s="44" t="s">
        <v>1368</v>
      </c>
      <c r="F1" s="44" t="s">
        <v>371</v>
      </c>
      <c r="G1" s="44" t="s">
        <v>381</v>
      </c>
      <c r="H1" s="44" t="s">
        <v>18</v>
      </c>
      <c r="I1" s="44">
        <v>2025</v>
      </c>
      <c r="J1" s="44" t="s">
        <v>372</v>
      </c>
      <c r="K1" s="44" t="s">
        <v>382</v>
      </c>
      <c r="L1" s="44" t="s">
        <v>373</v>
      </c>
      <c r="M1" s="44" t="s">
        <v>1519</v>
      </c>
      <c r="N1" s="250" t="s">
        <v>1520</v>
      </c>
      <c r="O1" s="44" t="s">
        <v>374</v>
      </c>
      <c r="P1" s="44" t="s">
        <v>375</v>
      </c>
      <c r="Q1" s="153"/>
    </row>
    <row r="2" spans="1:17" x14ac:dyDescent="0.25">
      <c r="A2" s="65"/>
      <c r="B2" s="65" t="s">
        <v>412</v>
      </c>
      <c r="C2" s="65"/>
      <c r="D2" s="65" t="s">
        <v>25</v>
      </c>
      <c r="E2" s="17"/>
      <c r="F2" s="67">
        <v>45659</v>
      </c>
      <c r="G2" s="65" t="s">
        <v>415</v>
      </c>
      <c r="H2" s="65" t="s">
        <v>380</v>
      </c>
      <c r="I2" s="67">
        <v>45659</v>
      </c>
      <c r="J2" s="71" t="s">
        <v>404</v>
      </c>
      <c r="K2" s="70">
        <v>300</v>
      </c>
      <c r="L2" s="70">
        <f t="shared" ref="L2:L59" si="0">SUM(K2)</f>
        <v>300</v>
      </c>
      <c r="M2" s="70"/>
      <c r="N2" s="251"/>
      <c r="O2" s="65" t="s">
        <v>417</v>
      </c>
      <c r="P2" s="18"/>
    </row>
    <row r="3" spans="1:17" x14ac:dyDescent="0.25">
      <c r="A3" s="66"/>
      <c r="B3" s="65" t="s">
        <v>424</v>
      </c>
      <c r="C3" s="65"/>
      <c r="D3" s="66" t="s">
        <v>25</v>
      </c>
      <c r="E3" s="18"/>
      <c r="F3" s="67">
        <v>45664</v>
      </c>
      <c r="G3" s="66" t="s">
        <v>402</v>
      </c>
      <c r="H3" s="66" t="s">
        <v>380</v>
      </c>
      <c r="I3" s="66" t="s">
        <v>426</v>
      </c>
      <c r="J3" s="68" t="s">
        <v>404</v>
      </c>
      <c r="K3" s="69">
        <v>131</v>
      </c>
      <c r="L3" s="70">
        <f t="shared" si="0"/>
        <v>131</v>
      </c>
      <c r="M3" s="70"/>
      <c r="N3" s="251"/>
      <c r="O3" s="65" t="s">
        <v>425</v>
      </c>
      <c r="P3" s="18"/>
    </row>
    <row r="4" spans="1:17" x14ac:dyDescent="0.25">
      <c r="A4" s="66"/>
      <c r="B4" s="65" t="s">
        <v>427</v>
      </c>
      <c r="C4" s="65"/>
      <c r="D4" s="66" t="s">
        <v>25</v>
      </c>
      <c r="E4" s="18"/>
      <c r="F4" s="67">
        <v>45664</v>
      </c>
      <c r="G4" s="66" t="s">
        <v>402</v>
      </c>
      <c r="H4" s="66" t="s">
        <v>380</v>
      </c>
      <c r="I4" s="66" t="s">
        <v>428</v>
      </c>
      <c r="J4" s="68" t="s">
        <v>404</v>
      </c>
      <c r="K4" s="69">
        <v>102.5</v>
      </c>
      <c r="L4" s="70">
        <f t="shared" si="0"/>
        <v>102.5</v>
      </c>
      <c r="M4" s="70"/>
      <c r="N4" s="251"/>
      <c r="O4" s="65" t="s">
        <v>429</v>
      </c>
      <c r="P4" s="18"/>
    </row>
    <row r="5" spans="1:17" x14ac:dyDescent="0.25">
      <c r="A5" s="66"/>
      <c r="B5" s="65" t="s">
        <v>450</v>
      </c>
      <c r="C5" s="65"/>
      <c r="D5" s="66" t="s">
        <v>25</v>
      </c>
      <c r="E5" s="18"/>
      <c r="F5" s="67">
        <v>45670</v>
      </c>
      <c r="G5" s="66" t="s">
        <v>415</v>
      </c>
      <c r="H5" s="66" t="s">
        <v>380</v>
      </c>
      <c r="I5" s="74">
        <v>45670</v>
      </c>
      <c r="J5" s="68" t="s">
        <v>404</v>
      </c>
      <c r="K5" s="69">
        <v>300</v>
      </c>
      <c r="L5" s="70">
        <f t="shared" si="0"/>
        <v>300</v>
      </c>
      <c r="M5" s="70"/>
      <c r="N5" s="251"/>
      <c r="O5" s="65" t="s">
        <v>417</v>
      </c>
      <c r="P5" s="18"/>
    </row>
    <row r="6" spans="1:17" x14ac:dyDescent="0.25">
      <c r="A6" s="66"/>
      <c r="B6" s="65" t="s">
        <v>451</v>
      </c>
      <c r="C6" s="65"/>
      <c r="D6" s="66" t="s">
        <v>25</v>
      </c>
      <c r="E6" s="18"/>
      <c r="F6" s="67">
        <v>45670</v>
      </c>
      <c r="G6" s="66" t="s">
        <v>402</v>
      </c>
      <c r="H6" s="66" t="s">
        <v>380</v>
      </c>
      <c r="I6" s="66" t="s">
        <v>455</v>
      </c>
      <c r="J6" s="68" t="s">
        <v>404</v>
      </c>
      <c r="K6" s="69">
        <v>72</v>
      </c>
      <c r="L6" s="70">
        <f t="shared" si="0"/>
        <v>72</v>
      </c>
      <c r="M6" s="70"/>
      <c r="N6" s="251"/>
      <c r="O6" s="65" t="s">
        <v>456</v>
      </c>
      <c r="P6" s="18"/>
    </row>
    <row r="7" spans="1:17" x14ac:dyDescent="0.25">
      <c r="A7" s="66"/>
      <c r="B7" s="65" t="s">
        <v>473</v>
      </c>
      <c r="C7" s="65"/>
      <c r="D7" s="66" t="s">
        <v>25</v>
      </c>
      <c r="E7" s="18"/>
      <c r="F7" s="67">
        <v>45674</v>
      </c>
      <c r="G7" s="66" t="s">
        <v>402</v>
      </c>
      <c r="H7" s="66" t="s">
        <v>380</v>
      </c>
      <c r="I7" s="73">
        <v>45668</v>
      </c>
      <c r="J7" s="68" t="s">
        <v>404</v>
      </c>
      <c r="K7" s="69">
        <v>72</v>
      </c>
      <c r="L7" s="70">
        <f t="shared" si="0"/>
        <v>72</v>
      </c>
      <c r="M7" s="70"/>
      <c r="N7" s="251"/>
      <c r="O7" s="65" t="s">
        <v>439</v>
      </c>
      <c r="P7" s="18"/>
    </row>
    <row r="8" spans="1:17" x14ac:dyDescent="0.25">
      <c r="A8" s="66"/>
      <c r="B8" s="65" t="s">
        <v>477</v>
      </c>
      <c r="C8" s="65"/>
      <c r="D8" s="66" t="s">
        <v>25</v>
      </c>
      <c r="E8" s="18"/>
      <c r="F8" s="67">
        <v>45677</v>
      </c>
      <c r="G8" s="66" t="s">
        <v>402</v>
      </c>
      <c r="H8" s="66" t="s">
        <v>380</v>
      </c>
      <c r="I8" s="73" t="s">
        <v>478</v>
      </c>
      <c r="J8" s="68" t="s">
        <v>404</v>
      </c>
      <c r="K8" s="69">
        <v>58</v>
      </c>
      <c r="L8" s="70">
        <f t="shared" si="0"/>
        <v>58</v>
      </c>
      <c r="M8" s="70"/>
      <c r="N8" s="251"/>
      <c r="O8" s="65" t="s">
        <v>456</v>
      </c>
      <c r="P8" s="18"/>
    </row>
    <row r="9" spans="1:17" x14ac:dyDescent="0.25">
      <c r="A9" s="66"/>
      <c r="B9" s="65" t="s">
        <v>479</v>
      </c>
      <c r="C9" s="65"/>
      <c r="D9" s="66" t="s">
        <v>25</v>
      </c>
      <c r="E9" s="18"/>
      <c r="F9" s="67">
        <v>45678</v>
      </c>
      <c r="G9" s="66" t="s">
        <v>415</v>
      </c>
      <c r="H9" s="66" t="s">
        <v>380</v>
      </c>
      <c r="I9" s="74">
        <v>45678</v>
      </c>
      <c r="J9" s="68" t="s">
        <v>404</v>
      </c>
      <c r="K9" s="69">
        <v>300</v>
      </c>
      <c r="L9" s="70">
        <f t="shared" si="0"/>
        <v>300</v>
      </c>
      <c r="M9" s="70"/>
      <c r="N9" s="251"/>
      <c r="O9" s="65" t="s">
        <v>417</v>
      </c>
      <c r="P9" s="18"/>
    </row>
    <row r="10" spans="1:17" x14ac:dyDescent="0.25">
      <c r="A10" s="66"/>
      <c r="B10" s="65" t="s">
        <v>509</v>
      </c>
      <c r="C10" s="65"/>
      <c r="D10" s="66" t="s">
        <v>25</v>
      </c>
      <c r="E10" s="18"/>
      <c r="F10" s="67">
        <v>45684</v>
      </c>
      <c r="G10" s="66" t="s">
        <v>415</v>
      </c>
      <c r="H10" s="66" t="s">
        <v>380</v>
      </c>
      <c r="I10" s="74">
        <v>45684</v>
      </c>
      <c r="J10" s="68" t="s">
        <v>404</v>
      </c>
      <c r="K10" s="69">
        <v>300</v>
      </c>
      <c r="L10" s="70">
        <f t="shared" si="0"/>
        <v>300</v>
      </c>
      <c r="M10" s="70"/>
      <c r="N10" s="251"/>
      <c r="O10" s="65" t="s">
        <v>417</v>
      </c>
      <c r="P10" s="18"/>
    </row>
    <row r="11" spans="1:17" x14ac:dyDescent="0.25">
      <c r="A11" s="66"/>
      <c r="B11" s="65" t="s">
        <v>524</v>
      </c>
      <c r="C11" s="65"/>
      <c r="D11" s="66" t="s">
        <v>25</v>
      </c>
      <c r="E11" s="18"/>
      <c r="F11" s="67">
        <v>45685</v>
      </c>
      <c r="G11" s="66" t="s">
        <v>402</v>
      </c>
      <c r="H11" s="66" t="s">
        <v>380</v>
      </c>
      <c r="I11" s="66" t="s">
        <v>525</v>
      </c>
      <c r="J11" s="68" t="s">
        <v>404</v>
      </c>
      <c r="K11" s="69">
        <v>87.5</v>
      </c>
      <c r="L11" s="70">
        <f t="shared" si="0"/>
        <v>87.5</v>
      </c>
      <c r="M11" s="70"/>
      <c r="N11" s="251"/>
      <c r="O11" s="65" t="s">
        <v>439</v>
      </c>
      <c r="P11" s="18"/>
    </row>
    <row r="12" spans="1:17" x14ac:dyDescent="0.25">
      <c r="A12" s="66"/>
      <c r="B12" s="65" t="s">
        <v>530</v>
      </c>
      <c r="C12" s="65"/>
      <c r="D12" s="66" t="s">
        <v>25</v>
      </c>
      <c r="E12" s="18"/>
      <c r="F12" s="67">
        <v>45685</v>
      </c>
      <c r="G12" s="66" t="s">
        <v>402</v>
      </c>
      <c r="H12" s="66" t="s">
        <v>380</v>
      </c>
      <c r="I12" s="74">
        <v>45686</v>
      </c>
      <c r="J12" s="68" t="s">
        <v>404</v>
      </c>
      <c r="K12" s="69">
        <v>200</v>
      </c>
      <c r="L12" s="70">
        <f t="shared" si="0"/>
        <v>200</v>
      </c>
      <c r="M12" s="70"/>
      <c r="N12" s="251"/>
      <c r="O12" s="65" t="s">
        <v>489</v>
      </c>
      <c r="P12" s="18"/>
    </row>
    <row r="13" spans="1:17" ht="18" customHeight="1" x14ac:dyDescent="0.25">
      <c r="A13" s="66"/>
      <c r="B13" s="65" t="s">
        <v>533</v>
      </c>
      <c r="C13" s="65"/>
      <c r="D13" s="66" t="s">
        <v>29</v>
      </c>
      <c r="E13" s="18"/>
      <c r="F13" s="67">
        <v>45691</v>
      </c>
      <c r="G13" s="66" t="s">
        <v>415</v>
      </c>
      <c r="H13" s="66" t="s">
        <v>380</v>
      </c>
      <c r="I13" s="74">
        <v>45691</v>
      </c>
      <c r="J13" s="68" t="s">
        <v>404</v>
      </c>
      <c r="K13" s="69">
        <v>300</v>
      </c>
      <c r="L13" s="70">
        <v>298</v>
      </c>
      <c r="M13" s="70"/>
      <c r="N13" s="251"/>
      <c r="O13" s="65" t="s">
        <v>417</v>
      </c>
      <c r="P13" s="76" t="s">
        <v>589</v>
      </c>
    </row>
    <row r="14" spans="1:17" x14ac:dyDescent="0.25">
      <c r="A14" s="66"/>
      <c r="B14" s="65" t="s">
        <v>539</v>
      </c>
      <c r="C14" s="65"/>
      <c r="D14" s="66" t="s">
        <v>29</v>
      </c>
      <c r="E14" s="18"/>
      <c r="F14" s="67">
        <v>45691</v>
      </c>
      <c r="G14" s="66" t="s">
        <v>402</v>
      </c>
      <c r="H14" s="66" t="s">
        <v>380</v>
      </c>
      <c r="I14" s="74">
        <v>45686</v>
      </c>
      <c r="J14" s="68" t="s">
        <v>404</v>
      </c>
      <c r="K14" s="69">
        <v>248</v>
      </c>
      <c r="L14" s="70">
        <f t="shared" si="0"/>
        <v>248</v>
      </c>
      <c r="M14" s="70"/>
      <c r="N14" s="251"/>
      <c r="O14" s="65" t="s">
        <v>439</v>
      </c>
      <c r="P14" s="18"/>
    </row>
    <row r="15" spans="1:17" x14ac:dyDescent="0.25">
      <c r="A15" s="66"/>
      <c r="B15" s="65" t="s">
        <v>540</v>
      </c>
      <c r="C15" s="65"/>
      <c r="D15" s="66" t="s">
        <v>29</v>
      </c>
      <c r="E15" s="18"/>
      <c r="F15" s="67">
        <v>45691</v>
      </c>
      <c r="G15" s="66" t="s">
        <v>402</v>
      </c>
      <c r="H15" s="66" t="s">
        <v>380</v>
      </c>
      <c r="I15" s="74">
        <v>45687</v>
      </c>
      <c r="J15" s="68" t="s">
        <v>404</v>
      </c>
      <c r="K15" s="69">
        <v>158</v>
      </c>
      <c r="L15" s="70">
        <f t="shared" si="0"/>
        <v>158</v>
      </c>
      <c r="M15" s="70"/>
      <c r="N15" s="251"/>
      <c r="O15" s="65" t="s">
        <v>439</v>
      </c>
      <c r="P15" s="18"/>
    </row>
    <row r="16" spans="1:17" x14ac:dyDescent="0.25">
      <c r="A16" s="66"/>
      <c r="B16" s="65" t="s">
        <v>541</v>
      </c>
      <c r="C16" s="65"/>
      <c r="D16" s="66" t="s">
        <v>29</v>
      </c>
      <c r="E16" s="18"/>
      <c r="F16" s="67">
        <v>45691</v>
      </c>
      <c r="G16" s="66" t="s">
        <v>402</v>
      </c>
      <c r="H16" s="66" t="s">
        <v>380</v>
      </c>
      <c r="I16" s="74">
        <v>45688</v>
      </c>
      <c r="J16" s="68" t="s">
        <v>404</v>
      </c>
      <c r="K16" s="69">
        <v>166.5</v>
      </c>
      <c r="L16" s="70">
        <f t="shared" si="0"/>
        <v>166.5</v>
      </c>
      <c r="M16" s="70"/>
      <c r="N16" s="251"/>
      <c r="O16" s="65" t="s">
        <v>439</v>
      </c>
      <c r="P16" s="18"/>
    </row>
    <row r="17" spans="1:17" x14ac:dyDescent="0.25">
      <c r="A17" s="66"/>
      <c r="B17" s="65" t="s">
        <v>578</v>
      </c>
      <c r="C17" s="65"/>
      <c r="D17" s="66" t="s">
        <v>29</v>
      </c>
      <c r="E17" s="18"/>
      <c r="F17" s="67">
        <v>45695</v>
      </c>
      <c r="G17" s="66" t="s">
        <v>415</v>
      </c>
      <c r="H17" s="66" t="s">
        <v>380</v>
      </c>
      <c r="I17" s="74">
        <v>45695</v>
      </c>
      <c r="J17" s="68" t="s">
        <v>404</v>
      </c>
      <c r="K17" s="69">
        <v>300</v>
      </c>
      <c r="L17" s="70">
        <f t="shared" si="0"/>
        <v>300</v>
      </c>
      <c r="M17" s="70"/>
      <c r="N17" s="251"/>
      <c r="O17" s="65" t="s">
        <v>417</v>
      </c>
      <c r="P17" s="18"/>
    </row>
    <row r="18" spans="1:17" x14ac:dyDescent="0.25">
      <c r="A18" s="82"/>
      <c r="B18" s="81" t="s">
        <v>582</v>
      </c>
      <c r="C18" s="81"/>
      <c r="D18" s="82" t="s">
        <v>29</v>
      </c>
      <c r="E18" s="18"/>
      <c r="F18" s="83">
        <v>45699</v>
      </c>
      <c r="G18" s="82" t="s">
        <v>415</v>
      </c>
      <c r="H18" s="82" t="s">
        <v>380</v>
      </c>
      <c r="I18" s="85">
        <v>45699</v>
      </c>
      <c r="J18" s="84" t="s">
        <v>404</v>
      </c>
      <c r="K18" s="86">
        <v>300</v>
      </c>
      <c r="L18" s="87">
        <f t="shared" si="0"/>
        <v>300</v>
      </c>
      <c r="M18" s="87"/>
      <c r="N18" s="252"/>
      <c r="O18" s="81" t="s">
        <v>417</v>
      </c>
      <c r="P18" s="18" t="s">
        <v>689</v>
      </c>
    </row>
    <row r="19" spans="1:17" x14ac:dyDescent="0.25">
      <c r="A19" s="82"/>
      <c r="B19" s="81" t="s">
        <v>626</v>
      </c>
      <c r="C19" s="81"/>
      <c r="D19" s="82" t="s">
        <v>29</v>
      </c>
      <c r="E19" s="18"/>
      <c r="F19" s="83">
        <v>45706</v>
      </c>
      <c r="G19" s="82" t="s">
        <v>402</v>
      </c>
      <c r="H19" s="82" t="s">
        <v>380</v>
      </c>
      <c r="I19" s="82" t="s">
        <v>631</v>
      </c>
      <c r="J19" s="84" t="s">
        <v>404</v>
      </c>
      <c r="K19" s="86">
        <v>127.5</v>
      </c>
      <c r="L19" s="87">
        <f t="shared" si="0"/>
        <v>127.5</v>
      </c>
      <c r="M19" s="87"/>
      <c r="N19" s="252"/>
      <c r="O19" s="81" t="s">
        <v>632</v>
      </c>
      <c r="P19" s="18" t="s">
        <v>689</v>
      </c>
    </row>
    <row r="20" spans="1:17" x14ac:dyDescent="0.25">
      <c r="A20" s="82"/>
      <c r="B20" s="81" t="s">
        <v>627</v>
      </c>
      <c r="C20" s="81"/>
      <c r="D20" s="82" t="s">
        <v>29</v>
      </c>
      <c r="E20" s="18"/>
      <c r="F20" s="83">
        <v>45706</v>
      </c>
      <c r="G20" s="82" t="s">
        <v>402</v>
      </c>
      <c r="H20" s="82" t="s">
        <v>380</v>
      </c>
      <c r="I20" s="82" t="s">
        <v>633</v>
      </c>
      <c r="J20" s="84" t="s">
        <v>404</v>
      </c>
      <c r="K20" s="86">
        <v>52</v>
      </c>
      <c r="L20" s="87">
        <f t="shared" si="0"/>
        <v>52</v>
      </c>
      <c r="M20" s="87"/>
      <c r="N20" s="252"/>
      <c r="O20" s="81" t="s">
        <v>429</v>
      </c>
      <c r="P20" s="18" t="s">
        <v>689</v>
      </c>
    </row>
    <row r="21" spans="1:17" ht="30" x14ac:dyDescent="0.25">
      <c r="A21" s="81"/>
      <c r="B21" s="81" t="s">
        <v>628</v>
      </c>
      <c r="C21" s="81"/>
      <c r="D21" s="81" t="s">
        <v>29</v>
      </c>
      <c r="E21" s="17"/>
      <c r="F21" s="83">
        <v>45706</v>
      </c>
      <c r="G21" s="81" t="s">
        <v>402</v>
      </c>
      <c r="H21" s="81" t="s">
        <v>380</v>
      </c>
      <c r="I21" s="105" t="s">
        <v>634</v>
      </c>
      <c r="J21" s="104" t="s">
        <v>404</v>
      </c>
      <c r="K21" s="87">
        <v>102.2</v>
      </c>
      <c r="L21" s="87">
        <f t="shared" si="0"/>
        <v>102.2</v>
      </c>
      <c r="M21" s="87"/>
      <c r="N21" s="252"/>
      <c r="O21" s="81" t="s">
        <v>425</v>
      </c>
      <c r="P21" s="18" t="s">
        <v>689</v>
      </c>
    </row>
    <row r="22" spans="1:17" x14ac:dyDescent="0.25">
      <c r="A22" s="82"/>
      <c r="B22" s="81" t="s">
        <v>629</v>
      </c>
      <c r="C22" s="81"/>
      <c r="D22" s="82" t="s">
        <v>29</v>
      </c>
      <c r="E22" s="18"/>
      <c r="F22" s="83">
        <v>45707</v>
      </c>
      <c r="G22" s="82" t="s">
        <v>415</v>
      </c>
      <c r="H22" s="82" t="s">
        <v>380</v>
      </c>
      <c r="I22" s="85">
        <v>45707</v>
      </c>
      <c r="J22" s="104" t="s">
        <v>404</v>
      </c>
      <c r="K22" s="86">
        <v>300</v>
      </c>
      <c r="L22" s="87">
        <f t="shared" si="0"/>
        <v>300</v>
      </c>
      <c r="M22" s="87"/>
      <c r="N22" s="252"/>
      <c r="O22" s="81" t="s">
        <v>417</v>
      </c>
      <c r="P22" s="18" t="s">
        <v>689</v>
      </c>
    </row>
    <row r="23" spans="1:17" x14ac:dyDescent="0.25">
      <c r="A23" s="82"/>
      <c r="B23" s="81" t="s">
        <v>630</v>
      </c>
      <c r="C23" s="81"/>
      <c r="D23" s="82" t="s">
        <v>29</v>
      </c>
      <c r="E23" s="18"/>
      <c r="F23" s="83">
        <v>45712</v>
      </c>
      <c r="G23" s="82" t="s">
        <v>651</v>
      </c>
      <c r="H23" s="82" t="s">
        <v>380</v>
      </c>
      <c r="I23" s="82" t="s">
        <v>652</v>
      </c>
      <c r="J23" s="104" t="s">
        <v>404</v>
      </c>
      <c r="K23" s="86">
        <v>94</v>
      </c>
      <c r="L23" s="87">
        <f t="shared" si="0"/>
        <v>94</v>
      </c>
      <c r="M23" s="87"/>
      <c r="N23" s="252"/>
      <c r="O23" s="81" t="s">
        <v>456</v>
      </c>
      <c r="P23" s="18" t="s">
        <v>689</v>
      </c>
    </row>
    <row r="24" spans="1:17" ht="15.75" customHeight="1" thickBot="1" x14ac:dyDescent="0.3">
      <c r="A24" s="91"/>
      <c r="B24" s="169" t="s">
        <v>655</v>
      </c>
      <c r="C24" s="169"/>
      <c r="D24" s="170" t="s">
        <v>29</v>
      </c>
      <c r="E24" s="91"/>
      <c r="F24" s="119">
        <v>45712</v>
      </c>
      <c r="G24" s="170" t="s">
        <v>415</v>
      </c>
      <c r="H24" s="170" t="s">
        <v>380</v>
      </c>
      <c r="I24" s="119">
        <v>45712</v>
      </c>
      <c r="J24" s="171" t="s">
        <v>404</v>
      </c>
      <c r="K24" s="172">
        <v>300</v>
      </c>
      <c r="L24" s="173">
        <f t="shared" si="0"/>
        <v>300</v>
      </c>
      <c r="M24" s="173">
        <v>297</v>
      </c>
      <c r="N24" s="253"/>
      <c r="O24" s="169" t="s">
        <v>417</v>
      </c>
      <c r="P24" s="18" t="s">
        <v>689</v>
      </c>
      <c r="Q24" s="154"/>
    </row>
    <row r="25" spans="1:17" ht="18" customHeight="1" x14ac:dyDescent="0.2">
      <c r="A25" s="106" t="s">
        <v>675</v>
      </c>
      <c r="B25" s="346" t="s">
        <v>658</v>
      </c>
      <c r="C25" s="107" t="s">
        <v>676</v>
      </c>
      <c r="D25" s="346" t="s">
        <v>29</v>
      </c>
      <c r="E25" s="349" t="s">
        <v>872</v>
      </c>
      <c r="F25" s="352">
        <v>45713</v>
      </c>
      <c r="G25" s="346" t="s">
        <v>402</v>
      </c>
      <c r="H25" s="346" t="s">
        <v>380</v>
      </c>
      <c r="I25" s="108">
        <v>45708</v>
      </c>
      <c r="J25" s="346" t="s">
        <v>404</v>
      </c>
      <c r="K25" s="355">
        <v>104</v>
      </c>
      <c r="L25" s="355">
        <f t="shared" si="0"/>
        <v>104</v>
      </c>
      <c r="M25" s="355"/>
      <c r="N25" s="254"/>
      <c r="O25" s="340" t="s">
        <v>425</v>
      </c>
      <c r="P25" s="343" t="s">
        <v>689</v>
      </c>
    </row>
    <row r="26" spans="1:17" x14ac:dyDescent="0.25">
      <c r="A26" s="109" t="s">
        <v>670</v>
      </c>
      <c r="B26" s="347"/>
      <c r="C26" s="110" t="s">
        <v>677</v>
      </c>
      <c r="D26" s="347"/>
      <c r="E26" s="350"/>
      <c r="F26" s="353"/>
      <c r="G26" s="347"/>
      <c r="H26" s="347"/>
      <c r="I26" s="85">
        <v>45709</v>
      </c>
      <c r="J26" s="347"/>
      <c r="K26" s="356"/>
      <c r="L26" s="356"/>
      <c r="M26" s="356"/>
      <c r="N26" s="255"/>
      <c r="O26" s="341"/>
      <c r="P26" s="344"/>
    </row>
    <row r="27" spans="1:17" x14ac:dyDescent="0.25">
      <c r="A27" s="109" t="s">
        <v>671</v>
      </c>
      <c r="B27" s="347"/>
      <c r="C27" s="110" t="s">
        <v>678</v>
      </c>
      <c r="D27" s="347"/>
      <c r="E27" s="350"/>
      <c r="F27" s="353"/>
      <c r="G27" s="347"/>
      <c r="H27" s="347"/>
      <c r="I27" s="85">
        <v>45709</v>
      </c>
      <c r="J27" s="347"/>
      <c r="K27" s="356"/>
      <c r="L27" s="356"/>
      <c r="M27" s="356"/>
      <c r="N27" s="255"/>
      <c r="O27" s="341"/>
      <c r="P27" s="344"/>
    </row>
    <row r="28" spans="1:17" x14ac:dyDescent="0.25">
      <c r="A28" s="109" t="s">
        <v>672</v>
      </c>
      <c r="B28" s="347"/>
      <c r="C28" s="110" t="s">
        <v>679</v>
      </c>
      <c r="D28" s="347"/>
      <c r="E28" s="350"/>
      <c r="F28" s="353"/>
      <c r="G28" s="347"/>
      <c r="H28" s="347"/>
      <c r="I28" s="85">
        <v>45710</v>
      </c>
      <c r="J28" s="347"/>
      <c r="K28" s="356"/>
      <c r="L28" s="356"/>
      <c r="M28" s="356"/>
      <c r="N28" s="255"/>
      <c r="O28" s="341"/>
      <c r="P28" s="344"/>
    </row>
    <row r="29" spans="1:17" x14ac:dyDescent="0.25">
      <c r="A29" s="109" t="s">
        <v>673</v>
      </c>
      <c r="B29" s="347"/>
      <c r="C29" s="110" t="s">
        <v>679</v>
      </c>
      <c r="D29" s="347"/>
      <c r="E29" s="350"/>
      <c r="F29" s="353"/>
      <c r="G29" s="347"/>
      <c r="H29" s="347"/>
      <c r="I29" s="85">
        <v>45710</v>
      </c>
      <c r="J29" s="347"/>
      <c r="K29" s="356"/>
      <c r="L29" s="356"/>
      <c r="M29" s="356"/>
      <c r="N29" s="255"/>
      <c r="O29" s="341"/>
      <c r="P29" s="344"/>
    </row>
    <row r="30" spans="1:17" ht="15.75" thickBot="1" x14ac:dyDescent="0.3">
      <c r="A30" s="111" t="s">
        <v>674</v>
      </c>
      <c r="B30" s="348"/>
      <c r="C30" s="112" t="s">
        <v>676</v>
      </c>
      <c r="D30" s="348"/>
      <c r="E30" s="351"/>
      <c r="F30" s="354"/>
      <c r="G30" s="348"/>
      <c r="H30" s="348"/>
      <c r="I30" s="113">
        <v>45712</v>
      </c>
      <c r="J30" s="348"/>
      <c r="K30" s="357"/>
      <c r="L30" s="357"/>
      <c r="M30" s="357"/>
      <c r="N30" s="256"/>
      <c r="O30" s="342"/>
      <c r="P30" s="345"/>
    </row>
    <row r="31" spans="1:17" x14ac:dyDescent="0.2">
      <c r="A31" s="114" t="s">
        <v>680</v>
      </c>
      <c r="B31" s="346" t="s">
        <v>667</v>
      </c>
      <c r="C31" s="115" t="s">
        <v>685</v>
      </c>
      <c r="D31" s="346" t="s">
        <v>29</v>
      </c>
      <c r="E31" s="349" t="s">
        <v>1356</v>
      </c>
      <c r="F31" s="352">
        <v>45714</v>
      </c>
      <c r="G31" s="346" t="s">
        <v>402</v>
      </c>
      <c r="H31" s="346" t="s">
        <v>380</v>
      </c>
      <c r="I31" s="108">
        <v>45707</v>
      </c>
      <c r="J31" s="346" t="s">
        <v>404</v>
      </c>
      <c r="K31" s="355">
        <v>133.5</v>
      </c>
      <c r="L31" s="355">
        <f t="shared" si="0"/>
        <v>133.5</v>
      </c>
      <c r="M31" s="187"/>
      <c r="N31" s="254"/>
      <c r="O31" s="340" t="s">
        <v>429</v>
      </c>
      <c r="P31" s="343"/>
    </row>
    <row r="32" spans="1:17" x14ac:dyDescent="0.2">
      <c r="A32" s="116" t="s">
        <v>681</v>
      </c>
      <c r="B32" s="347"/>
      <c r="C32" s="117" t="s">
        <v>677</v>
      </c>
      <c r="D32" s="347"/>
      <c r="E32" s="350"/>
      <c r="F32" s="347"/>
      <c r="G32" s="347"/>
      <c r="H32" s="347"/>
      <c r="I32" s="83">
        <v>45708</v>
      </c>
      <c r="J32" s="347"/>
      <c r="K32" s="356"/>
      <c r="L32" s="356"/>
      <c r="M32" s="188"/>
      <c r="N32" s="255"/>
      <c r="O32" s="341"/>
      <c r="P32" s="344"/>
    </row>
    <row r="33" spans="1:17" x14ac:dyDescent="0.2">
      <c r="A33" s="116" t="s">
        <v>682</v>
      </c>
      <c r="B33" s="347"/>
      <c r="C33" s="117" t="s">
        <v>678</v>
      </c>
      <c r="D33" s="347"/>
      <c r="E33" s="350"/>
      <c r="F33" s="347"/>
      <c r="G33" s="347"/>
      <c r="H33" s="347"/>
      <c r="I33" s="83">
        <v>45709</v>
      </c>
      <c r="J33" s="347"/>
      <c r="K33" s="356"/>
      <c r="L33" s="356"/>
      <c r="M33" s="188"/>
      <c r="N33" s="255"/>
      <c r="O33" s="341"/>
      <c r="P33" s="344"/>
    </row>
    <row r="34" spans="1:17" x14ac:dyDescent="0.2">
      <c r="A34" s="116" t="s">
        <v>683</v>
      </c>
      <c r="B34" s="347"/>
      <c r="C34" s="117" t="s">
        <v>678</v>
      </c>
      <c r="D34" s="347"/>
      <c r="E34" s="350"/>
      <c r="F34" s="347"/>
      <c r="G34" s="347"/>
      <c r="H34" s="347"/>
      <c r="I34" s="83">
        <v>45710</v>
      </c>
      <c r="J34" s="347"/>
      <c r="K34" s="356"/>
      <c r="L34" s="356"/>
      <c r="M34" s="188"/>
      <c r="N34" s="255"/>
      <c r="O34" s="341"/>
      <c r="P34" s="344"/>
    </row>
    <row r="35" spans="1:17" x14ac:dyDescent="0.2">
      <c r="A35" s="118" t="s">
        <v>684</v>
      </c>
      <c r="B35" s="347"/>
      <c r="C35" s="117" t="s">
        <v>678</v>
      </c>
      <c r="D35" s="347"/>
      <c r="E35" s="358"/>
      <c r="F35" s="347"/>
      <c r="G35" s="347"/>
      <c r="H35" s="347"/>
      <c r="I35" s="119">
        <v>45712</v>
      </c>
      <c r="J35" s="347"/>
      <c r="K35" s="356"/>
      <c r="L35" s="356"/>
      <c r="M35" s="188"/>
      <c r="N35" s="255"/>
      <c r="O35" s="341"/>
      <c r="P35" s="345"/>
    </row>
    <row r="36" spans="1:17" x14ac:dyDescent="0.25">
      <c r="A36" s="121" t="s">
        <v>693</v>
      </c>
      <c r="B36" s="359" t="s">
        <v>692</v>
      </c>
      <c r="C36" s="122" t="s">
        <v>696</v>
      </c>
      <c r="D36" s="359" t="s">
        <v>29</v>
      </c>
      <c r="E36" s="360" t="s">
        <v>26</v>
      </c>
      <c r="F36" s="363">
        <v>45715</v>
      </c>
      <c r="G36" s="359" t="s">
        <v>402</v>
      </c>
      <c r="H36" s="359" t="s">
        <v>380</v>
      </c>
      <c r="I36" s="123">
        <v>45707</v>
      </c>
      <c r="J36" s="364" t="s">
        <v>404</v>
      </c>
      <c r="K36" s="367">
        <v>116</v>
      </c>
      <c r="L36" s="367">
        <f t="shared" si="0"/>
        <v>116</v>
      </c>
      <c r="M36" s="184"/>
      <c r="N36" s="257"/>
      <c r="O36" s="364" t="s">
        <v>632</v>
      </c>
      <c r="P36" s="90"/>
    </row>
    <row r="37" spans="1:17" x14ac:dyDescent="0.25">
      <c r="A37" s="121" t="s">
        <v>570</v>
      </c>
      <c r="B37" s="359"/>
      <c r="C37" s="124" t="s">
        <v>697</v>
      </c>
      <c r="D37" s="359"/>
      <c r="E37" s="361"/>
      <c r="F37" s="359"/>
      <c r="G37" s="359"/>
      <c r="H37" s="359"/>
      <c r="I37" s="123">
        <v>45708</v>
      </c>
      <c r="J37" s="365"/>
      <c r="K37" s="368"/>
      <c r="L37" s="368"/>
      <c r="M37" s="185"/>
      <c r="N37" s="258"/>
      <c r="O37" s="365"/>
      <c r="P37" s="90"/>
    </row>
    <row r="38" spans="1:17" x14ac:dyDescent="0.25">
      <c r="A38" s="121" t="s">
        <v>684</v>
      </c>
      <c r="B38" s="359"/>
      <c r="C38" s="122" t="s">
        <v>696</v>
      </c>
      <c r="D38" s="359"/>
      <c r="E38" s="361"/>
      <c r="F38" s="359"/>
      <c r="G38" s="359"/>
      <c r="H38" s="359"/>
      <c r="I38" s="123">
        <v>45712</v>
      </c>
      <c r="J38" s="365"/>
      <c r="K38" s="368"/>
      <c r="L38" s="368"/>
      <c r="M38" s="185"/>
      <c r="N38" s="258"/>
      <c r="O38" s="365"/>
      <c r="P38" s="90"/>
    </row>
    <row r="39" spans="1:17" x14ac:dyDescent="0.25">
      <c r="A39" s="121" t="s">
        <v>694</v>
      </c>
      <c r="B39" s="359"/>
      <c r="C39" s="122" t="s">
        <v>696</v>
      </c>
      <c r="D39" s="359"/>
      <c r="E39" s="361"/>
      <c r="F39" s="359"/>
      <c r="G39" s="359"/>
      <c r="H39" s="359"/>
      <c r="I39" s="123">
        <v>45714</v>
      </c>
      <c r="J39" s="365"/>
      <c r="K39" s="368"/>
      <c r="L39" s="368"/>
      <c r="M39" s="185"/>
      <c r="N39" s="258"/>
      <c r="O39" s="365"/>
      <c r="P39" s="90"/>
    </row>
    <row r="40" spans="1:17" x14ac:dyDescent="0.25">
      <c r="A40" s="121" t="s">
        <v>695</v>
      </c>
      <c r="B40" s="359"/>
      <c r="C40" s="122" t="s">
        <v>696</v>
      </c>
      <c r="D40" s="359"/>
      <c r="E40" s="362"/>
      <c r="F40" s="359"/>
      <c r="G40" s="359"/>
      <c r="H40" s="359"/>
      <c r="I40" s="123">
        <v>45714</v>
      </c>
      <c r="J40" s="366"/>
      <c r="K40" s="369"/>
      <c r="L40" s="369"/>
      <c r="M40" s="186"/>
      <c r="N40" s="259"/>
      <c r="O40" s="366"/>
      <c r="P40" s="90"/>
    </row>
    <row r="41" spans="1:17" x14ac:dyDescent="0.25">
      <c r="A41" s="174"/>
      <c r="B41" s="175" t="s">
        <v>736</v>
      </c>
      <c r="C41" s="175"/>
      <c r="D41" s="170" t="s">
        <v>29</v>
      </c>
      <c r="E41" s="242"/>
      <c r="F41" s="176">
        <v>45722</v>
      </c>
      <c r="G41" s="174" t="s">
        <v>415</v>
      </c>
      <c r="H41" s="174" t="s">
        <v>380</v>
      </c>
      <c r="I41" s="177">
        <v>45722</v>
      </c>
      <c r="J41" s="178" t="s">
        <v>404</v>
      </c>
      <c r="K41" s="179">
        <v>300</v>
      </c>
      <c r="L41" s="180">
        <f t="shared" si="0"/>
        <v>300</v>
      </c>
      <c r="M41" s="180">
        <v>297.10000000000002</v>
      </c>
      <c r="N41" s="260"/>
      <c r="O41" s="175" t="s">
        <v>417</v>
      </c>
      <c r="P41" s="18" t="s">
        <v>689</v>
      </c>
      <c r="Q41" s="154"/>
    </row>
    <row r="42" spans="1:17" ht="75" x14ac:dyDescent="0.25">
      <c r="A42" s="105" t="s">
        <v>761</v>
      </c>
      <c r="B42" s="175" t="s">
        <v>760</v>
      </c>
      <c r="C42" s="181" t="s">
        <v>762</v>
      </c>
      <c r="D42" s="81" t="s">
        <v>31</v>
      </c>
      <c r="E42" s="17" t="s">
        <v>1356</v>
      </c>
      <c r="F42" s="83">
        <v>45726</v>
      </c>
      <c r="G42" s="81" t="s">
        <v>402</v>
      </c>
      <c r="H42" s="81" t="s">
        <v>380</v>
      </c>
      <c r="I42" s="83" t="s">
        <v>763</v>
      </c>
      <c r="J42" s="104" t="s">
        <v>404</v>
      </c>
      <c r="K42" s="87">
        <v>90</v>
      </c>
      <c r="L42" s="87">
        <f t="shared" si="0"/>
        <v>90</v>
      </c>
      <c r="M42" s="87">
        <v>90</v>
      </c>
      <c r="N42" s="252"/>
      <c r="O42" s="81" t="s">
        <v>489</v>
      </c>
      <c r="P42" s="18" t="s">
        <v>689</v>
      </c>
      <c r="Q42" s="154"/>
    </row>
    <row r="43" spans="1:17" x14ac:dyDescent="0.25">
      <c r="A43" s="168"/>
      <c r="B43" s="81" t="s">
        <v>778</v>
      </c>
      <c r="C43" s="81"/>
      <c r="D43" s="82" t="s">
        <v>31</v>
      </c>
      <c r="E43" s="18"/>
      <c r="F43" s="83">
        <v>45728</v>
      </c>
      <c r="G43" s="174" t="s">
        <v>415</v>
      </c>
      <c r="H43" s="174" t="s">
        <v>380</v>
      </c>
      <c r="I43" s="83">
        <v>45728</v>
      </c>
      <c r="J43" s="178" t="s">
        <v>404</v>
      </c>
      <c r="K43" s="86">
        <v>300</v>
      </c>
      <c r="L43" s="87">
        <f t="shared" si="0"/>
        <v>300</v>
      </c>
      <c r="M43" s="180">
        <v>397.2</v>
      </c>
      <c r="N43" s="260"/>
      <c r="O43" s="175" t="s">
        <v>417</v>
      </c>
      <c r="P43" s="79">
        <v>45728</v>
      </c>
    </row>
    <row r="44" spans="1:17" x14ac:dyDescent="0.25">
      <c r="A44" s="81" t="s">
        <v>806</v>
      </c>
      <c r="B44" s="81" t="s">
        <v>805</v>
      </c>
      <c r="C44" s="81" t="s">
        <v>807</v>
      </c>
      <c r="D44" s="81" t="s">
        <v>31</v>
      </c>
      <c r="E44" s="17" t="s">
        <v>26</v>
      </c>
      <c r="F44" s="83">
        <v>45730</v>
      </c>
      <c r="G44" s="81" t="s">
        <v>402</v>
      </c>
      <c r="H44" s="175" t="s">
        <v>380</v>
      </c>
      <c r="I44" s="81" t="s">
        <v>808</v>
      </c>
      <c r="J44" s="178" t="s">
        <v>404</v>
      </c>
      <c r="K44" s="182">
        <v>88</v>
      </c>
      <c r="L44" s="182">
        <f t="shared" si="0"/>
        <v>88</v>
      </c>
      <c r="M44" s="182">
        <v>88</v>
      </c>
      <c r="N44" s="252"/>
      <c r="O44" s="81" t="s">
        <v>632</v>
      </c>
      <c r="P44" s="157">
        <v>45733</v>
      </c>
      <c r="Q44" s="154"/>
    </row>
    <row r="45" spans="1:17" x14ac:dyDescent="0.25">
      <c r="A45" s="18" t="s">
        <v>812</v>
      </c>
      <c r="B45" s="81" t="s">
        <v>810</v>
      </c>
      <c r="C45" s="81" t="s">
        <v>813</v>
      </c>
      <c r="D45" s="81" t="s">
        <v>31</v>
      </c>
      <c r="E45" s="17" t="s">
        <v>26</v>
      </c>
      <c r="F45" s="83">
        <v>45733</v>
      </c>
      <c r="G45" s="81" t="s">
        <v>402</v>
      </c>
      <c r="H45" s="175" t="s">
        <v>380</v>
      </c>
      <c r="I45" s="85">
        <v>45729</v>
      </c>
      <c r="J45" s="178" t="s">
        <v>404</v>
      </c>
      <c r="K45" s="86">
        <v>51</v>
      </c>
      <c r="L45" s="87">
        <f t="shared" si="0"/>
        <v>51</v>
      </c>
      <c r="M45" s="87">
        <v>51</v>
      </c>
      <c r="N45" s="252"/>
      <c r="O45" s="81" t="s">
        <v>439</v>
      </c>
      <c r="P45" s="157">
        <v>45734</v>
      </c>
    </row>
    <row r="46" spans="1:17" x14ac:dyDescent="0.25">
      <c r="A46" s="18"/>
      <c r="B46" s="81" t="s">
        <v>811</v>
      </c>
      <c r="C46" s="81"/>
      <c r="D46" s="81" t="s">
        <v>31</v>
      </c>
      <c r="E46" s="17"/>
      <c r="F46" s="83">
        <v>45733</v>
      </c>
      <c r="G46" s="174" t="s">
        <v>814</v>
      </c>
      <c r="H46" s="175" t="s">
        <v>380</v>
      </c>
      <c r="I46" s="83">
        <v>45732</v>
      </c>
      <c r="J46" s="178" t="s">
        <v>404</v>
      </c>
      <c r="K46" s="86">
        <v>26</v>
      </c>
      <c r="L46" s="87">
        <f t="shared" si="0"/>
        <v>26</v>
      </c>
      <c r="M46" s="87">
        <v>26</v>
      </c>
      <c r="N46" s="252"/>
      <c r="O46" s="81" t="s">
        <v>439</v>
      </c>
      <c r="P46" s="157">
        <v>45734</v>
      </c>
    </row>
    <row r="47" spans="1:17" ht="45" x14ac:dyDescent="0.25">
      <c r="A47" s="76" t="s">
        <v>829</v>
      </c>
      <c r="B47" s="81" t="s">
        <v>830</v>
      </c>
      <c r="C47" s="105" t="s">
        <v>831</v>
      </c>
      <c r="D47" s="81" t="s">
        <v>31</v>
      </c>
      <c r="E47" s="17" t="s">
        <v>26</v>
      </c>
      <c r="F47" s="81" t="s">
        <v>31</v>
      </c>
      <c r="G47" s="81" t="s">
        <v>402</v>
      </c>
      <c r="H47" s="175" t="s">
        <v>380</v>
      </c>
      <c r="I47" s="105" t="s">
        <v>832</v>
      </c>
      <c r="J47" s="175" t="s">
        <v>404</v>
      </c>
      <c r="K47" s="182">
        <v>106</v>
      </c>
      <c r="L47" s="87">
        <f t="shared" si="0"/>
        <v>106</v>
      </c>
      <c r="M47" s="87">
        <v>106</v>
      </c>
      <c r="N47" s="252"/>
      <c r="O47" s="81" t="s">
        <v>489</v>
      </c>
      <c r="P47" s="157">
        <v>45735</v>
      </c>
    </row>
    <row r="48" spans="1:17" x14ac:dyDescent="0.25">
      <c r="A48" s="18"/>
      <c r="B48" s="81" t="s">
        <v>833</v>
      </c>
      <c r="C48" s="81"/>
      <c r="D48" s="82" t="s">
        <v>31</v>
      </c>
      <c r="E48" s="18"/>
      <c r="F48" s="82" t="s">
        <v>31</v>
      </c>
      <c r="G48" s="82" t="s">
        <v>834</v>
      </c>
      <c r="H48" s="82" t="s">
        <v>380</v>
      </c>
      <c r="I48" s="194">
        <v>45733</v>
      </c>
      <c r="J48" s="178" t="s">
        <v>404</v>
      </c>
      <c r="K48" s="86">
        <v>14.1</v>
      </c>
      <c r="L48" s="87">
        <f t="shared" si="0"/>
        <v>14.1</v>
      </c>
      <c r="M48" s="87">
        <v>14.1</v>
      </c>
      <c r="N48" s="252"/>
      <c r="O48" s="81" t="s">
        <v>489</v>
      </c>
      <c r="P48" s="157">
        <v>45735</v>
      </c>
    </row>
    <row r="49" spans="1:16" x14ac:dyDescent="0.25">
      <c r="A49" s="18"/>
      <c r="B49" s="81" t="s">
        <v>835</v>
      </c>
      <c r="C49" s="81"/>
      <c r="D49" s="82" t="s">
        <v>31</v>
      </c>
      <c r="E49" s="18"/>
      <c r="F49" s="83">
        <v>45734</v>
      </c>
      <c r="G49" s="174" t="s">
        <v>415</v>
      </c>
      <c r="H49" s="174" t="s">
        <v>380</v>
      </c>
      <c r="I49" s="83">
        <v>45734</v>
      </c>
      <c r="J49" s="178" t="s">
        <v>404</v>
      </c>
      <c r="K49" s="86">
        <v>300</v>
      </c>
      <c r="L49" s="87">
        <f t="shared" si="0"/>
        <v>300</v>
      </c>
      <c r="M49" s="87">
        <v>299</v>
      </c>
      <c r="N49" s="252"/>
      <c r="O49" s="81" t="s">
        <v>417</v>
      </c>
      <c r="P49" s="157">
        <v>45735</v>
      </c>
    </row>
    <row r="50" spans="1:16" x14ac:dyDescent="0.25">
      <c r="A50" s="18" t="s">
        <v>837</v>
      </c>
      <c r="B50" s="81" t="s">
        <v>836</v>
      </c>
      <c r="C50" s="81" t="s">
        <v>838</v>
      </c>
      <c r="D50" s="82" t="s">
        <v>31</v>
      </c>
      <c r="E50" s="18" t="s">
        <v>26</v>
      </c>
      <c r="F50" s="83">
        <v>45735</v>
      </c>
      <c r="G50" s="82" t="s">
        <v>402</v>
      </c>
      <c r="H50" s="82" t="s">
        <v>380</v>
      </c>
      <c r="I50" s="83">
        <v>45734</v>
      </c>
      <c r="J50" s="178" t="s">
        <v>404</v>
      </c>
      <c r="K50" s="86">
        <v>105</v>
      </c>
      <c r="L50" s="87">
        <f t="shared" si="0"/>
        <v>105</v>
      </c>
      <c r="M50" s="87">
        <v>105</v>
      </c>
      <c r="N50" s="252"/>
      <c r="O50" s="81" t="s">
        <v>414</v>
      </c>
      <c r="P50" s="157">
        <v>45736</v>
      </c>
    </row>
    <row r="51" spans="1:16" ht="60" x14ac:dyDescent="0.2">
      <c r="A51" s="24" t="s">
        <v>840</v>
      </c>
      <c r="B51" s="81" t="s">
        <v>839</v>
      </c>
      <c r="C51" s="105" t="s">
        <v>841</v>
      </c>
      <c r="D51" s="81" t="s">
        <v>31</v>
      </c>
      <c r="E51" s="17" t="s">
        <v>1356</v>
      </c>
      <c r="F51" s="83">
        <v>45735</v>
      </c>
      <c r="G51" s="81" t="s">
        <v>402</v>
      </c>
      <c r="H51" s="175" t="s">
        <v>380</v>
      </c>
      <c r="I51" s="105" t="s">
        <v>842</v>
      </c>
      <c r="J51" s="195" t="s">
        <v>404</v>
      </c>
      <c r="K51" s="87">
        <v>115.5</v>
      </c>
      <c r="L51" s="87">
        <f t="shared" si="0"/>
        <v>115.5</v>
      </c>
      <c r="M51" s="87">
        <v>115.5</v>
      </c>
      <c r="N51" s="252"/>
      <c r="O51" s="81" t="s">
        <v>429</v>
      </c>
      <c r="P51" s="25">
        <v>45736</v>
      </c>
    </row>
    <row r="52" spans="1:16" x14ac:dyDescent="0.25">
      <c r="A52" s="18" t="s">
        <v>859</v>
      </c>
      <c r="B52" s="81" t="s">
        <v>860</v>
      </c>
      <c r="C52" s="81" t="s">
        <v>813</v>
      </c>
      <c r="D52" s="82" t="s">
        <v>31</v>
      </c>
      <c r="E52" s="18" t="s">
        <v>26</v>
      </c>
      <c r="F52" s="83">
        <v>45737</v>
      </c>
      <c r="G52" s="82" t="s">
        <v>402</v>
      </c>
      <c r="H52" s="82" t="s">
        <v>380</v>
      </c>
      <c r="I52" s="194">
        <v>45735</v>
      </c>
      <c r="J52" s="178" t="s">
        <v>404</v>
      </c>
      <c r="K52" s="86">
        <v>45</v>
      </c>
      <c r="L52" s="87">
        <f t="shared" si="0"/>
        <v>45</v>
      </c>
      <c r="M52" s="87">
        <v>45</v>
      </c>
      <c r="N52" s="252"/>
      <c r="O52" s="81" t="s">
        <v>439</v>
      </c>
      <c r="P52" s="157">
        <v>45740</v>
      </c>
    </row>
    <row r="53" spans="1:16" x14ac:dyDescent="0.25">
      <c r="A53" s="18"/>
      <c r="B53" s="81" t="s">
        <v>873</v>
      </c>
      <c r="C53" s="81"/>
      <c r="D53" s="82" t="s">
        <v>31</v>
      </c>
      <c r="E53" s="18"/>
      <c r="F53" s="83">
        <v>45740</v>
      </c>
      <c r="G53" s="174" t="s">
        <v>415</v>
      </c>
      <c r="H53" s="174" t="s">
        <v>380</v>
      </c>
      <c r="I53" s="83">
        <v>45740</v>
      </c>
      <c r="J53" s="178" t="s">
        <v>404</v>
      </c>
      <c r="K53" s="86">
        <v>300</v>
      </c>
      <c r="L53" s="87">
        <f t="shared" si="0"/>
        <v>300</v>
      </c>
      <c r="M53" s="87">
        <v>300.5</v>
      </c>
      <c r="N53" s="252"/>
      <c r="O53" s="81" t="s">
        <v>417</v>
      </c>
      <c r="P53" s="157">
        <v>45741</v>
      </c>
    </row>
    <row r="54" spans="1:16" x14ac:dyDescent="0.25">
      <c r="A54" s="18"/>
      <c r="B54" s="81" t="s">
        <v>890</v>
      </c>
      <c r="C54" s="81"/>
      <c r="D54" s="81" t="s">
        <v>31</v>
      </c>
      <c r="E54" s="17"/>
      <c r="F54" s="83">
        <v>45741</v>
      </c>
      <c r="G54" s="174" t="s">
        <v>814</v>
      </c>
      <c r="H54" s="175" t="s">
        <v>380</v>
      </c>
      <c r="I54" s="83">
        <v>45740</v>
      </c>
      <c r="J54" s="178" t="s">
        <v>404</v>
      </c>
      <c r="K54" s="86">
        <v>38</v>
      </c>
      <c r="L54" s="87">
        <v>38</v>
      </c>
      <c r="M54" s="87">
        <v>38</v>
      </c>
      <c r="N54" s="252"/>
      <c r="O54" s="81" t="s">
        <v>439</v>
      </c>
      <c r="P54" s="157">
        <v>45744</v>
      </c>
    </row>
    <row r="55" spans="1:16" x14ac:dyDescent="0.25">
      <c r="A55" s="18"/>
      <c r="B55" s="81" t="s">
        <v>917</v>
      </c>
      <c r="C55" s="81"/>
      <c r="D55" s="82" t="s">
        <v>31</v>
      </c>
      <c r="E55" s="18"/>
      <c r="F55" s="83">
        <v>45743</v>
      </c>
      <c r="G55" s="174" t="s">
        <v>415</v>
      </c>
      <c r="H55" s="174" t="s">
        <v>380</v>
      </c>
      <c r="I55" s="83">
        <v>45743</v>
      </c>
      <c r="J55" s="178" t="s">
        <v>404</v>
      </c>
      <c r="K55" s="86">
        <v>300</v>
      </c>
      <c r="L55" s="87">
        <f t="shared" ref="L55:L56" si="1">SUM(K55)</f>
        <v>300</v>
      </c>
      <c r="M55" s="87">
        <v>303</v>
      </c>
      <c r="N55" s="252"/>
      <c r="O55" s="81" t="s">
        <v>417</v>
      </c>
      <c r="P55" s="157">
        <v>45744</v>
      </c>
    </row>
    <row r="56" spans="1:16" x14ac:dyDescent="0.25">
      <c r="A56" s="18" t="s">
        <v>925</v>
      </c>
      <c r="B56" s="81" t="s">
        <v>926</v>
      </c>
      <c r="C56" s="81"/>
      <c r="D56" s="82" t="s">
        <v>31</v>
      </c>
      <c r="E56" s="18"/>
      <c r="F56" s="83">
        <v>45744</v>
      </c>
      <c r="G56" s="82" t="s">
        <v>402</v>
      </c>
      <c r="H56" s="82" t="s">
        <v>380</v>
      </c>
      <c r="I56" s="85">
        <v>45742</v>
      </c>
      <c r="J56" s="84" t="s">
        <v>404</v>
      </c>
      <c r="K56" s="86">
        <v>48</v>
      </c>
      <c r="L56" s="87">
        <f t="shared" si="1"/>
        <v>48</v>
      </c>
      <c r="M56" s="87">
        <v>48</v>
      </c>
      <c r="N56" s="252"/>
      <c r="O56" s="81" t="s">
        <v>439</v>
      </c>
      <c r="P56" s="157">
        <v>45747</v>
      </c>
    </row>
    <row r="57" spans="1:16" x14ac:dyDescent="0.25">
      <c r="A57" s="18" t="s">
        <v>930</v>
      </c>
      <c r="B57" s="81" t="s">
        <v>927</v>
      </c>
      <c r="C57" s="81" t="s">
        <v>929</v>
      </c>
      <c r="D57" s="82" t="s">
        <v>31</v>
      </c>
      <c r="E57" s="18" t="s">
        <v>26</v>
      </c>
      <c r="F57" s="83">
        <v>45748</v>
      </c>
      <c r="G57" s="82" t="s">
        <v>402</v>
      </c>
      <c r="H57" s="82" t="s">
        <v>380</v>
      </c>
      <c r="I57" s="85">
        <v>45742</v>
      </c>
      <c r="J57" s="178" t="s">
        <v>404</v>
      </c>
      <c r="K57" s="86">
        <v>93</v>
      </c>
      <c r="L57" s="87">
        <f t="shared" si="0"/>
        <v>93</v>
      </c>
      <c r="M57" s="87">
        <v>93</v>
      </c>
      <c r="N57" s="252"/>
      <c r="O57" s="81" t="s">
        <v>632</v>
      </c>
      <c r="P57" s="157">
        <v>45749</v>
      </c>
    </row>
    <row r="58" spans="1:16" x14ac:dyDescent="0.25">
      <c r="A58" s="18"/>
      <c r="B58" s="81" t="s">
        <v>928</v>
      </c>
      <c r="C58" s="81"/>
      <c r="D58" s="82" t="s">
        <v>31</v>
      </c>
      <c r="E58" s="18"/>
      <c r="F58" s="83">
        <v>45749</v>
      </c>
      <c r="G58" s="174" t="s">
        <v>415</v>
      </c>
      <c r="H58" s="174" t="s">
        <v>380</v>
      </c>
      <c r="I58" s="83">
        <v>45749</v>
      </c>
      <c r="J58" s="178" t="s">
        <v>404</v>
      </c>
      <c r="K58" s="86">
        <v>300</v>
      </c>
      <c r="L58" s="87">
        <v>297</v>
      </c>
      <c r="M58" s="87">
        <v>297</v>
      </c>
      <c r="N58" s="252"/>
      <c r="O58" s="81" t="s">
        <v>417</v>
      </c>
      <c r="P58" s="157">
        <v>45750</v>
      </c>
    </row>
    <row r="59" spans="1:16" x14ac:dyDescent="0.25">
      <c r="A59" s="18"/>
      <c r="B59" s="81" t="s">
        <v>931</v>
      </c>
      <c r="C59" s="81"/>
      <c r="D59" s="82" t="s">
        <v>28</v>
      </c>
      <c r="E59" s="18"/>
      <c r="F59" s="83">
        <v>45754</v>
      </c>
      <c r="G59" s="82" t="s">
        <v>814</v>
      </c>
      <c r="H59" s="174" t="s">
        <v>380</v>
      </c>
      <c r="I59" s="85">
        <v>45751</v>
      </c>
      <c r="J59" s="178" t="s">
        <v>404</v>
      </c>
      <c r="K59" s="86">
        <v>53</v>
      </c>
      <c r="L59" s="87">
        <f t="shared" si="0"/>
        <v>53</v>
      </c>
      <c r="M59" s="87">
        <v>53</v>
      </c>
      <c r="N59" s="252"/>
      <c r="O59" s="81" t="s">
        <v>439</v>
      </c>
      <c r="P59" s="157">
        <v>45755</v>
      </c>
    </row>
    <row r="60" spans="1:16" x14ac:dyDescent="0.25">
      <c r="A60" s="18"/>
      <c r="B60" s="81" t="s">
        <v>957</v>
      </c>
      <c r="C60" s="81"/>
      <c r="D60" s="82" t="s">
        <v>28</v>
      </c>
      <c r="E60" s="18"/>
      <c r="F60" s="83">
        <v>45755</v>
      </c>
      <c r="G60" s="174" t="s">
        <v>415</v>
      </c>
      <c r="H60" s="174" t="s">
        <v>380</v>
      </c>
      <c r="I60" s="83">
        <v>45755</v>
      </c>
      <c r="J60" s="178" t="s">
        <v>404</v>
      </c>
      <c r="K60" s="86">
        <v>300</v>
      </c>
      <c r="L60" s="87">
        <v>299.60000000000002</v>
      </c>
      <c r="M60" s="87">
        <v>299.60000000000002</v>
      </c>
      <c r="N60" s="252"/>
      <c r="O60" s="81" t="s">
        <v>417</v>
      </c>
      <c r="P60" s="198">
        <v>45756</v>
      </c>
    </row>
    <row r="61" spans="1:16" x14ac:dyDescent="0.25">
      <c r="A61" s="18" t="s">
        <v>964</v>
      </c>
      <c r="B61" s="81" t="s">
        <v>958</v>
      </c>
      <c r="C61" s="81" t="s">
        <v>965</v>
      </c>
      <c r="D61" s="82" t="s">
        <v>28</v>
      </c>
      <c r="E61" s="18" t="s">
        <v>26</v>
      </c>
      <c r="F61" s="83">
        <v>45756</v>
      </c>
      <c r="G61" s="82" t="s">
        <v>402</v>
      </c>
      <c r="H61" s="82" t="s">
        <v>380</v>
      </c>
      <c r="I61" s="82" t="s">
        <v>966</v>
      </c>
      <c r="J61" s="178" t="s">
        <v>404</v>
      </c>
      <c r="K61" s="86">
        <v>58</v>
      </c>
      <c r="L61" s="87">
        <v>58</v>
      </c>
      <c r="M61" s="87">
        <v>58</v>
      </c>
      <c r="N61" s="252"/>
      <c r="O61" s="81" t="s">
        <v>632</v>
      </c>
      <c r="P61" s="157">
        <v>45757</v>
      </c>
    </row>
    <row r="62" spans="1:16" s="197" customFormat="1" ht="30" x14ac:dyDescent="0.25">
      <c r="A62" s="24" t="s">
        <v>962</v>
      </c>
      <c r="B62" s="81" t="s">
        <v>959</v>
      </c>
      <c r="C62" s="105" t="s">
        <v>963</v>
      </c>
      <c r="D62" s="81" t="s">
        <v>28</v>
      </c>
      <c r="E62" s="17" t="s">
        <v>33</v>
      </c>
      <c r="F62" s="83">
        <v>45756</v>
      </c>
      <c r="G62" s="81" t="s">
        <v>402</v>
      </c>
      <c r="H62" s="81" t="s">
        <v>380</v>
      </c>
      <c r="I62" s="105" t="s">
        <v>961</v>
      </c>
      <c r="J62" s="195" t="s">
        <v>404</v>
      </c>
      <c r="K62" s="87">
        <v>73</v>
      </c>
      <c r="L62" s="87">
        <f t="shared" ref="L62:L101" si="2">SUM(K62)</f>
        <v>73</v>
      </c>
      <c r="M62" s="87">
        <v>73</v>
      </c>
      <c r="N62" s="252"/>
      <c r="O62" s="81" t="s">
        <v>429</v>
      </c>
      <c r="P62" s="157">
        <v>45757</v>
      </c>
    </row>
    <row r="63" spans="1:16" x14ac:dyDescent="0.25">
      <c r="A63" s="18"/>
      <c r="B63" s="81" t="s">
        <v>960</v>
      </c>
      <c r="C63" s="81"/>
      <c r="D63" s="82" t="s">
        <v>28</v>
      </c>
      <c r="E63" s="18"/>
      <c r="F63" s="83">
        <v>45757</v>
      </c>
      <c r="G63" s="82" t="s">
        <v>415</v>
      </c>
      <c r="H63" s="174" t="s">
        <v>380</v>
      </c>
      <c r="I63" s="83">
        <v>45756</v>
      </c>
      <c r="J63" s="178" t="s">
        <v>404</v>
      </c>
      <c r="K63" s="86">
        <v>92.9</v>
      </c>
      <c r="L63" s="87">
        <f t="shared" si="2"/>
        <v>92.9</v>
      </c>
      <c r="M63" s="87">
        <v>92.9</v>
      </c>
      <c r="N63" s="252"/>
      <c r="O63" s="81" t="s">
        <v>417</v>
      </c>
      <c r="P63" s="157">
        <v>45762</v>
      </c>
    </row>
    <row r="64" spans="1:16" x14ac:dyDescent="0.25">
      <c r="B64" s="81" t="s">
        <v>977</v>
      </c>
      <c r="C64" s="200"/>
      <c r="D64" s="82" t="s">
        <v>28</v>
      </c>
      <c r="E64" s="18"/>
      <c r="F64" s="83">
        <v>45757</v>
      </c>
      <c r="G64" s="174" t="s">
        <v>415</v>
      </c>
      <c r="H64" s="174" t="s">
        <v>380</v>
      </c>
      <c r="I64" s="83">
        <v>45757</v>
      </c>
      <c r="J64" s="178" t="s">
        <v>404</v>
      </c>
      <c r="K64" s="86">
        <v>300</v>
      </c>
      <c r="L64" s="87">
        <v>303</v>
      </c>
      <c r="M64" s="87">
        <v>3</v>
      </c>
      <c r="N64" s="252" t="s">
        <v>1365</v>
      </c>
      <c r="O64" s="81" t="s">
        <v>417</v>
      </c>
      <c r="P64" s="157">
        <v>45762</v>
      </c>
    </row>
    <row r="65" spans="1:16" x14ac:dyDescent="0.25">
      <c r="A65" s="18" t="s">
        <v>982</v>
      </c>
      <c r="B65" s="81" t="s">
        <v>978</v>
      </c>
      <c r="C65" s="81" t="s">
        <v>983</v>
      </c>
      <c r="D65" s="82" t="s">
        <v>28</v>
      </c>
      <c r="E65" s="18" t="s">
        <v>26</v>
      </c>
      <c r="F65" s="83">
        <v>45758</v>
      </c>
      <c r="G65" s="81" t="s">
        <v>402</v>
      </c>
      <c r="H65" s="81" t="s">
        <v>380</v>
      </c>
      <c r="I65" s="194">
        <v>45758</v>
      </c>
      <c r="J65" s="178" t="s">
        <v>404</v>
      </c>
      <c r="K65" s="86">
        <v>100</v>
      </c>
      <c r="L65" s="87">
        <f t="shared" si="2"/>
        <v>100</v>
      </c>
      <c r="M65" s="87">
        <v>100</v>
      </c>
      <c r="N65" s="252"/>
      <c r="O65" s="81" t="s">
        <v>948</v>
      </c>
      <c r="P65" s="25">
        <v>45762</v>
      </c>
    </row>
    <row r="66" spans="1:16" s="197" customFormat="1" ht="30" x14ac:dyDescent="0.25">
      <c r="A66" s="24" t="s">
        <v>989</v>
      </c>
      <c r="B66" s="81" t="s">
        <v>979</v>
      </c>
      <c r="C66" s="105" t="s">
        <v>991</v>
      </c>
      <c r="D66" s="81" t="s">
        <v>28</v>
      </c>
      <c r="E66" s="18" t="s">
        <v>26</v>
      </c>
      <c r="F66" s="83">
        <v>45761</v>
      </c>
      <c r="G66" s="81" t="s">
        <v>402</v>
      </c>
      <c r="H66" s="81" t="s">
        <v>380</v>
      </c>
      <c r="I66" s="201" t="s">
        <v>990</v>
      </c>
      <c r="J66" s="195" t="s">
        <v>404</v>
      </c>
      <c r="K66" s="87">
        <v>55</v>
      </c>
      <c r="L66" s="87">
        <f t="shared" si="2"/>
        <v>55</v>
      </c>
      <c r="M66" s="87">
        <v>55</v>
      </c>
      <c r="N66" s="252"/>
      <c r="O66" s="81" t="s">
        <v>489</v>
      </c>
      <c r="P66" s="25">
        <v>45762</v>
      </c>
    </row>
    <row r="67" spans="1:16" x14ac:dyDescent="0.25">
      <c r="A67" s="76"/>
      <c r="B67" s="81" t="s">
        <v>980</v>
      </c>
      <c r="C67" s="81"/>
      <c r="D67" s="82" t="s">
        <v>28</v>
      </c>
      <c r="E67" s="18"/>
      <c r="F67" s="83">
        <v>45762</v>
      </c>
      <c r="G67" s="174" t="s">
        <v>415</v>
      </c>
      <c r="H67" s="174" t="s">
        <v>380</v>
      </c>
      <c r="I67" s="83">
        <v>45762</v>
      </c>
      <c r="J67" s="178" t="s">
        <v>404</v>
      </c>
      <c r="K67" s="86">
        <v>300</v>
      </c>
      <c r="L67" s="87">
        <f t="shared" si="2"/>
        <v>300</v>
      </c>
      <c r="M67" s="87">
        <v>300</v>
      </c>
      <c r="N67" s="252"/>
      <c r="O67" s="81" t="s">
        <v>417</v>
      </c>
      <c r="P67" s="25">
        <v>45764</v>
      </c>
    </row>
    <row r="68" spans="1:16" s="197" customFormat="1" ht="45" x14ac:dyDescent="0.2">
      <c r="A68" s="24" t="s">
        <v>1005</v>
      </c>
      <c r="B68" s="81" t="s">
        <v>981</v>
      </c>
      <c r="C68" s="105" t="s">
        <v>1006</v>
      </c>
      <c r="D68" s="81" t="s">
        <v>28</v>
      </c>
      <c r="E68" s="17" t="s">
        <v>1356</v>
      </c>
      <c r="F68" s="83">
        <v>45763</v>
      </c>
      <c r="G68" s="81" t="s">
        <v>402</v>
      </c>
      <c r="H68" s="81" t="s">
        <v>380</v>
      </c>
      <c r="I68" s="105" t="s">
        <v>1007</v>
      </c>
      <c r="J68" s="195" t="s">
        <v>404</v>
      </c>
      <c r="K68" s="87">
        <v>63</v>
      </c>
      <c r="L68" s="87">
        <f t="shared" si="2"/>
        <v>63</v>
      </c>
      <c r="M68" s="87">
        <v>63</v>
      </c>
      <c r="N68" s="252"/>
      <c r="O68" s="81" t="s">
        <v>429</v>
      </c>
      <c r="P68" s="25">
        <v>45769</v>
      </c>
    </row>
    <row r="69" spans="1:16" s="197" customFormat="1" ht="30" x14ac:dyDescent="0.2">
      <c r="A69" s="17"/>
      <c r="B69" s="81" t="s">
        <v>1008</v>
      </c>
      <c r="C69" s="81"/>
      <c r="D69" s="81" t="s">
        <v>28</v>
      </c>
      <c r="E69" s="17"/>
      <c r="F69" s="83">
        <v>45763</v>
      </c>
      <c r="G69" s="81" t="s">
        <v>1016</v>
      </c>
      <c r="H69" s="81" t="s">
        <v>380</v>
      </c>
      <c r="I69" s="105" t="s">
        <v>1017</v>
      </c>
      <c r="J69" s="104" t="s">
        <v>404</v>
      </c>
      <c r="K69" s="87">
        <v>33</v>
      </c>
      <c r="L69" s="87">
        <f t="shared" si="2"/>
        <v>33</v>
      </c>
      <c r="M69" s="87">
        <v>33</v>
      </c>
      <c r="N69" s="252"/>
      <c r="O69" s="81" t="s">
        <v>520</v>
      </c>
      <c r="P69" s="25">
        <v>45769</v>
      </c>
    </row>
    <row r="70" spans="1:16" x14ac:dyDescent="0.25">
      <c r="A70" s="18"/>
      <c r="B70" s="81" t="s">
        <v>1009</v>
      </c>
      <c r="C70" s="81"/>
      <c r="D70" s="82" t="s">
        <v>28</v>
      </c>
      <c r="E70" s="18"/>
      <c r="F70" s="83">
        <v>45770</v>
      </c>
      <c r="G70" s="174" t="s">
        <v>415</v>
      </c>
      <c r="H70" s="174" t="s">
        <v>380</v>
      </c>
      <c r="I70" s="83">
        <v>45770</v>
      </c>
      <c r="J70" s="178" t="s">
        <v>404</v>
      </c>
      <c r="K70" s="86">
        <v>300</v>
      </c>
      <c r="L70" s="87">
        <f t="shared" si="2"/>
        <v>300</v>
      </c>
      <c r="M70" s="87">
        <v>297</v>
      </c>
      <c r="N70" s="252"/>
      <c r="O70" s="81" t="s">
        <v>417</v>
      </c>
      <c r="P70" s="18"/>
    </row>
    <row r="71" spans="1:16" x14ac:dyDescent="0.25">
      <c r="A71" s="18"/>
      <c r="B71" s="81" t="s">
        <v>1010</v>
      </c>
      <c r="C71" s="81"/>
      <c r="D71" s="82" t="s">
        <v>32</v>
      </c>
      <c r="E71" s="18"/>
      <c r="F71" s="83">
        <v>45782</v>
      </c>
      <c r="G71" s="82"/>
      <c r="H71" s="82"/>
      <c r="I71" s="82"/>
      <c r="J71" s="178" t="s">
        <v>404</v>
      </c>
      <c r="K71" s="86">
        <v>300</v>
      </c>
      <c r="L71" s="87">
        <v>302.5</v>
      </c>
      <c r="M71" s="87">
        <v>2.5</v>
      </c>
      <c r="N71" s="252" t="s">
        <v>1365</v>
      </c>
      <c r="O71" s="81" t="s">
        <v>417</v>
      </c>
      <c r="P71" s="18"/>
    </row>
    <row r="72" spans="1:16" x14ac:dyDescent="0.25">
      <c r="A72" s="18"/>
      <c r="B72" s="81" t="s">
        <v>1011</v>
      </c>
      <c r="C72" s="81"/>
      <c r="D72" s="82" t="s">
        <v>32</v>
      </c>
      <c r="E72" s="18"/>
      <c r="F72" s="83">
        <v>45790</v>
      </c>
      <c r="G72" s="82"/>
      <c r="H72" s="82"/>
      <c r="I72" s="82"/>
      <c r="J72" s="178" t="s">
        <v>404</v>
      </c>
      <c r="K72" s="86">
        <v>300</v>
      </c>
      <c r="L72" s="87">
        <v>305</v>
      </c>
      <c r="M72" s="87">
        <v>5</v>
      </c>
      <c r="N72" s="252" t="s">
        <v>1365</v>
      </c>
      <c r="O72" s="81" t="s">
        <v>417</v>
      </c>
      <c r="P72" s="18"/>
    </row>
    <row r="73" spans="1:16" x14ac:dyDescent="0.25">
      <c r="A73" s="18"/>
      <c r="B73" s="81" t="s">
        <v>1012</v>
      </c>
      <c r="C73" s="81"/>
      <c r="D73" s="82" t="s">
        <v>32</v>
      </c>
      <c r="E73" s="18"/>
      <c r="F73" s="83">
        <v>45798</v>
      </c>
      <c r="G73" s="82"/>
      <c r="H73" s="82"/>
      <c r="I73" s="82"/>
      <c r="J73" s="178" t="s">
        <v>404</v>
      </c>
      <c r="K73" s="86">
        <v>300</v>
      </c>
      <c r="L73" s="87">
        <v>302</v>
      </c>
      <c r="M73" s="87">
        <v>2</v>
      </c>
      <c r="N73" s="252" t="s">
        <v>1365</v>
      </c>
      <c r="O73" s="81" t="s">
        <v>417</v>
      </c>
      <c r="P73" s="157">
        <v>45800</v>
      </c>
    </row>
    <row r="74" spans="1:16" x14ac:dyDescent="0.25">
      <c r="A74" s="18" t="s">
        <v>1068</v>
      </c>
      <c r="B74" s="81" t="s">
        <v>1013</v>
      </c>
      <c r="C74" s="81" t="s">
        <v>1067</v>
      </c>
      <c r="D74" s="82" t="s">
        <v>32</v>
      </c>
      <c r="E74" s="18" t="s">
        <v>33</v>
      </c>
      <c r="F74" s="83">
        <v>45798</v>
      </c>
      <c r="G74" s="82"/>
      <c r="H74" s="82"/>
      <c r="I74" s="82"/>
      <c r="J74" s="178" t="s">
        <v>404</v>
      </c>
      <c r="K74" s="86">
        <v>33</v>
      </c>
      <c r="L74" s="87">
        <f t="shared" si="2"/>
        <v>33</v>
      </c>
      <c r="M74" s="87">
        <v>0</v>
      </c>
      <c r="N74" s="252"/>
      <c r="O74" s="81" t="s">
        <v>429</v>
      </c>
      <c r="P74" s="198">
        <v>45800</v>
      </c>
    </row>
    <row r="75" spans="1:16" x14ac:dyDescent="0.25">
      <c r="A75" s="18"/>
      <c r="B75" s="81" t="s">
        <v>1014</v>
      </c>
      <c r="C75" s="81"/>
      <c r="D75" s="82" t="s">
        <v>32</v>
      </c>
      <c r="E75" s="18"/>
      <c r="F75" s="83">
        <v>45807</v>
      </c>
      <c r="G75" s="82"/>
      <c r="H75" s="82"/>
      <c r="I75" s="82"/>
      <c r="J75" s="178" t="s">
        <v>404</v>
      </c>
      <c r="K75" s="86">
        <v>55.3</v>
      </c>
      <c r="L75" s="87">
        <f t="shared" si="2"/>
        <v>55.3</v>
      </c>
      <c r="M75" s="87">
        <v>0</v>
      </c>
      <c r="N75" s="252"/>
      <c r="O75" s="81" t="s">
        <v>466</v>
      </c>
      <c r="P75" s="216">
        <v>45810</v>
      </c>
    </row>
    <row r="76" spans="1:16" x14ac:dyDescent="0.25">
      <c r="A76" s="18"/>
      <c r="B76" s="81" t="s">
        <v>1014</v>
      </c>
      <c r="C76" s="81"/>
      <c r="D76" s="82" t="s">
        <v>32</v>
      </c>
      <c r="E76" s="18"/>
      <c r="F76" s="83">
        <v>45807</v>
      </c>
      <c r="G76" s="82"/>
      <c r="H76" s="82"/>
      <c r="I76" s="82"/>
      <c r="J76" s="178" t="s">
        <v>404</v>
      </c>
      <c r="K76" s="86">
        <v>300</v>
      </c>
      <c r="L76" s="87">
        <v>304.5</v>
      </c>
      <c r="M76" s="87">
        <v>4.5</v>
      </c>
      <c r="N76" s="252" t="s">
        <v>1365</v>
      </c>
      <c r="O76" s="81" t="s">
        <v>417</v>
      </c>
      <c r="P76" s="216">
        <v>45810</v>
      </c>
    </row>
    <row r="77" spans="1:16" x14ac:dyDescent="0.25">
      <c r="A77" s="18"/>
      <c r="B77" s="81" t="s">
        <v>1015</v>
      </c>
      <c r="C77" s="81"/>
      <c r="D77" s="82" t="s">
        <v>32</v>
      </c>
      <c r="E77" s="18"/>
      <c r="F77" s="83">
        <v>45807</v>
      </c>
      <c r="G77" s="82"/>
      <c r="H77" s="82"/>
      <c r="I77" s="82"/>
      <c r="J77" s="178" t="s">
        <v>404</v>
      </c>
      <c r="K77" s="86">
        <v>30</v>
      </c>
      <c r="L77" s="87">
        <f t="shared" si="2"/>
        <v>30</v>
      </c>
      <c r="M77" s="87"/>
      <c r="N77" s="252"/>
      <c r="O77" s="81" t="s">
        <v>948</v>
      </c>
      <c r="P77" s="216">
        <v>45810</v>
      </c>
    </row>
    <row r="78" spans="1:16" x14ac:dyDescent="0.25">
      <c r="A78" s="18"/>
      <c r="B78" s="81" t="s">
        <v>1107</v>
      </c>
      <c r="C78" s="81"/>
      <c r="D78" s="82" t="s">
        <v>30</v>
      </c>
      <c r="E78" s="18"/>
      <c r="F78" s="83">
        <v>45811</v>
      </c>
      <c r="G78" s="82"/>
      <c r="H78" s="82"/>
      <c r="I78" s="82"/>
      <c r="J78" s="178" t="s">
        <v>404</v>
      </c>
      <c r="K78" s="86">
        <v>300</v>
      </c>
      <c r="L78" s="87">
        <v>301.10000000000002</v>
      </c>
      <c r="M78" s="87">
        <v>1.1000000000000001</v>
      </c>
      <c r="N78" s="252" t="s">
        <v>1365</v>
      </c>
      <c r="O78" s="81" t="s">
        <v>417</v>
      </c>
      <c r="P78" s="216">
        <v>45812</v>
      </c>
    </row>
    <row r="79" spans="1:16" s="197" customFormat="1" ht="105" x14ac:dyDescent="0.2">
      <c r="A79" s="105" t="s">
        <v>1114</v>
      </c>
      <c r="B79" s="81" t="s">
        <v>1108</v>
      </c>
      <c r="C79" s="105" t="s">
        <v>1115</v>
      </c>
      <c r="D79" s="81" t="s">
        <v>30</v>
      </c>
      <c r="E79" s="17" t="s">
        <v>1356</v>
      </c>
      <c r="F79" s="83">
        <v>45811</v>
      </c>
      <c r="G79" s="81"/>
      <c r="H79" s="81"/>
      <c r="I79" s="81"/>
      <c r="J79" s="195" t="s">
        <v>404</v>
      </c>
      <c r="K79" s="87">
        <v>464.1</v>
      </c>
      <c r="L79" s="87">
        <f t="shared" si="2"/>
        <v>464.1</v>
      </c>
      <c r="M79" s="87">
        <v>0</v>
      </c>
      <c r="N79" s="252"/>
      <c r="O79" s="81" t="s">
        <v>429</v>
      </c>
      <c r="P79" s="25">
        <v>45813</v>
      </c>
    </row>
    <row r="80" spans="1:16" x14ac:dyDescent="0.25">
      <c r="A80" s="82"/>
      <c r="B80" s="81" t="s">
        <v>1111</v>
      </c>
      <c r="C80" s="81" t="s">
        <v>1117</v>
      </c>
      <c r="D80" s="81" t="s">
        <v>30</v>
      </c>
      <c r="E80" s="17"/>
      <c r="F80" s="83">
        <v>45811</v>
      </c>
      <c r="G80" s="82"/>
      <c r="H80" s="82"/>
      <c r="I80" s="82"/>
      <c r="J80" s="195" t="s">
        <v>404</v>
      </c>
      <c r="K80" s="86">
        <v>44</v>
      </c>
      <c r="L80" s="87">
        <f t="shared" si="2"/>
        <v>44</v>
      </c>
      <c r="M80" s="87">
        <v>0</v>
      </c>
      <c r="N80" s="252"/>
      <c r="O80" s="81" t="s">
        <v>1116</v>
      </c>
      <c r="P80" s="25">
        <v>45813</v>
      </c>
    </row>
    <row r="81" spans="1:16" x14ac:dyDescent="0.25">
      <c r="A81" s="82"/>
      <c r="B81" s="81" t="s">
        <v>1112</v>
      </c>
      <c r="C81" s="81" t="s">
        <v>1117</v>
      </c>
      <c r="D81" s="81" t="s">
        <v>30</v>
      </c>
      <c r="E81" s="17"/>
      <c r="F81" s="83">
        <v>45811</v>
      </c>
      <c r="G81" s="82"/>
      <c r="H81" s="82"/>
      <c r="I81" s="82"/>
      <c r="J81" s="195" t="s">
        <v>404</v>
      </c>
      <c r="K81" s="86">
        <v>29.9</v>
      </c>
      <c r="L81" s="87">
        <f t="shared" si="2"/>
        <v>29.9</v>
      </c>
      <c r="M81" s="87">
        <v>0</v>
      </c>
      <c r="N81" s="252"/>
      <c r="O81" s="81" t="s">
        <v>466</v>
      </c>
      <c r="P81" s="25">
        <v>45813</v>
      </c>
    </row>
    <row r="82" spans="1:16" x14ac:dyDescent="0.25">
      <c r="A82" s="18"/>
      <c r="B82" s="81" t="s">
        <v>1113</v>
      </c>
      <c r="C82" s="81"/>
      <c r="D82" s="82" t="s">
        <v>30</v>
      </c>
      <c r="E82" s="18"/>
      <c r="F82" s="83">
        <v>45817</v>
      </c>
      <c r="G82" s="82"/>
      <c r="H82" s="82"/>
      <c r="I82" s="82"/>
      <c r="J82" s="84" t="s">
        <v>404</v>
      </c>
      <c r="K82" s="86">
        <v>300</v>
      </c>
      <c r="L82" s="87">
        <f>SUM(K82)</f>
        <v>300</v>
      </c>
      <c r="M82" s="87">
        <v>291.77</v>
      </c>
      <c r="N82" s="252"/>
      <c r="O82" s="81" t="s">
        <v>417</v>
      </c>
      <c r="P82" s="79">
        <v>45818</v>
      </c>
    </row>
    <row r="83" spans="1:16" s="197" customFormat="1" ht="45" x14ac:dyDescent="0.2">
      <c r="A83" s="105" t="s">
        <v>1140</v>
      </c>
      <c r="B83" s="81" t="s">
        <v>1138</v>
      </c>
      <c r="C83" s="105" t="s">
        <v>1141</v>
      </c>
      <c r="D83" s="81" t="s">
        <v>30</v>
      </c>
      <c r="E83" s="17" t="s">
        <v>1356</v>
      </c>
      <c r="F83" s="83">
        <v>45817</v>
      </c>
      <c r="G83" s="81"/>
      <c r="H83" s="81"/>
      <c r="I83" s="81"/>
      <c r="J83" s="104" t="s">
        <v>404</v>
      </c>
      <c r="K83" s="87">
        <v>89</v>
      </c>
      <c r="L83" s="87">
        <f t="shared" si="2"/>
        <v>89</v>
      </c>
      <c r="M83" s="87"/>
      <c r="N83" s="252"/>
      <c r="O83" s="81" t="s">
        <v>429</v>
      </c>
      <c r="P83" s="79">
        <v>45818</v>
      </c>
    </row>
    <row r="84" spans="1:16" x14ac:dyDescent="0.25">
      <c r="A84" s="82"/>
      <c r="B84" s="81" t="s">
        <v>1139</v>
      </c>
      <c r="C84" s="81" t="s">
        <v>1016</v>
      </c>
      <c r="D84" s="81" t="s">
        <v>30</v>
      </c>
      <c r="E84" s="17"/>
      <c r="F84" s="83">
        <v>45817</v>
      </c>
      <c r="G84" s="82"/>
      <c r="H84" s="82"/>
      <c r="I84" s="82"/>
      <c r="J84" s="104" t="s">
        <v>404</v>
      </c>
      <c r="K84" s="86">
        <v>135</v>
      </c>
      <c r="L84" s="87">
        <f t="shared" si="2"/>
        <v>135</v>
      </c>
      <c r="M84" s="87"/>
      <c r="N84" s="252"/>
      <c r="O84" s="81" t="s">
        <v>520</v>
      </c>
      <c r="P84" s="79">
        <v>45818</v>
      </c>
    </row>
    <row r="85" spans="1:16" x14ac:dyDescent="0.25">
      <c r="A85" s="18"/>
      <c r="B85" s="81" t="s">
        <v>1168</v>
      </c>
      <c r="C85" s="81"/>
      <c r="D85" s="81" t="s">
        <v>30</v>
      </c>
      <c r="E85" s="17"/>
      <c r="F85" s="83">
        <v>45824</v>
      </c>
      <c r="G85" s="82"/>
      <c r="H85" s="82"/>
      <c r="I85" s="82"/>
      <c r="J85" s="84" t="s">
        <v>404</v>
      </c>
      <c r="K85" s="86">
        <v>300</v>
      </c>
      <c r="L85" s="87">
        <f>SUM(K85)</f>
        <v>300</v>
      </c>
      <c r="M85" s="87"/>
      <c r="N85" s="252"/>
      <c r="O85" s="81" t="s">
        <v>417</v>
      </c>
      <c r="P85" s="79">
        <v>45825</v>
      </c>
    </row>
    <row r="86" spans="1:16" x14ac:dyDescent="0.25">
      <c r="A86" s="18"/>
      <c r="B86" s="81" t="s">
        <v>1169</v>
      </c>
      <c r="C86" s="81"/>
      <c r="D86" s="81" t="s">
        <v>30</v>
      </c>
      <c r="E86" s="17"/>
      <c r="F86" s="83">
        <v>45828</v>
      </c>
      <c r="G86" s="82"/>
      <c r="H86" s="82"/>
      <c r="I86" s="82"/>
      <c r="J86" s="84" t="s">
        <v>404</v>
      </c>
      <c r="K86" s="86">
        <v>300</v>
      </c>
      <c r="L86" s="87">
        <f>SUM(K86)</f>
        <v>300</v>
      </c>
      <c r="M86" s="87"/>
      <c r="N86" s="252"/>
      <c r="O86" s="81" t="s">
        <v>417</v>
      </c>
      <c r="P86" s="79">
        <v>45831</v>
      </c>
    </row>
    <row r="87" spans="1:16" x14ac:dyDescent="0.25">
      <c r="A87" s="18"/>
      <c r="B87" s="81" t="s">
        <v>1175</v>
      </c>
      <c r="C87" s="81"/>
      <c r="D87" s="81" t="s">
        <v>30</v>
      </c>
      <c r="E87" s="17"/>
      <c r="F87" s="83">
        <v>45828</v>
      </c>
      <c r="G87" s="82"/>
      <c r="H87" s="82"/>
      <c r="I87" s="82"/>
      <c r="J87" s="84" t="s">
        <v>404</v>
      </c>
      <c r="K87" s="86">
        <v>28.6</v>
      </c>
      <c r="L87" s="87">
        <f t="shared" si="2"/>
        <v>28.6</v>
      </c>
      <c r="M87" s="87"/>
      <c r="N87" s="252"/>
      <c r="O87" s="81" t="s">
        <v>489</v>
      </c>
      <c r="P87" s="79">
        <v>45831</v>
      </c>
    </row>
    <row r="88" spans="1:16" s="197" customFormat="1" ht="45" x14ac:dyDescent="0.2">
      <c r="A88" s="24" t="s">
        <v>1184</v>
      </c>
      <c r="B88" s="81" t="s">
        <v>1176</v>
      </c>
      <c r="C88" s="105" t="s">
        <v>1185</v>
      </c>
      <c r="D88" s="81" t="s">
        <v>30</v>
      </c>
      <c r="E88" s="17" t="s">
        <v>1356</v>
      </c>
      <c r="F88" s="83">
        <v>45831</v>
      </c>
      <c r="G88" s="81"/>
      <c r="H88" s="81"/>
      <c r="I88" s="81"/>
      <c r="J88" s="104" t="s">
        <v>404</v>
      </c>
      <c r="K88" s="87">
        <v>66</v>
      </c>
      <c r="L88" s="87">
        <f t="shared" si="2"/>
        <v>66</v>
      </c>
      <c r="M88" s="87"/>
      <c r="N88" s="252"/>
      <c r="O88" s="81" t="s">
        <v>429</v>
      </c>
      <c r="P88" s="25">
        <v>45833</v>
      </c>
    </row>
    <row r="89" spans="1:16" s="197" customFormat="1" ht="30" x14ac:dyDescent="0.2">
      <c r="A89" s="17" t="s">
        <v>1191</v>
      </c>
      <c r="B89" s="81" t="s">
        <v>1177</v>
      </c>
      <c r="C89" s="105" t="s">
        <v>1192</v>
      </c>
      <c r="D89" s="81" t="s">
        <v>30</v>
      </c>
      <c r="E89" s="17" t="s">
        <v>1356</v>
      </c>
      <c r="F89" s="83">
        <v>45832</v>
      </c>
      <c r="G89" s="81"/>
      <c r="H89" s="81"/>
      <c r="I89" s="81"/>
      <c r="J89" s="104" t="s">
        <v>404</v>
      </c>
      <c r="K89" s="87">
        <v>77.400000000000006</v>
      </c>
      <c r="L89" s="87">
        <f t="shared" si="2"/>
        <v>77.400000000000006</v>
      </c>
      <c r="M89" s="87"/>
      <c r="N89" s="252"/>
      <c r="O89" s="81" t="s">
        <v>1190</v>
      </c>
      <c r="P89" s="25">
        <v>45833</v>
      </c>
    </row>
    <row r="90" spans="1:16" x14ac:dyDescent="0.25">
      <c r="A90" s="18"/>
      <c r="B90" s="81" t="s">
        <v>1178</v>
      </c>
      <c r="C90" s="81"/>
      <c r="D90" s="81" t="s">
        <v>30</v>
      </c>
      <c r="E90" s="17"/>
      <c r="F90" s="83">
        <v>45833</v>
      </c>
      <c r="G90" s="82"/>
      <c r="H90" s="82"/>
      <c r="I90" s="82"/>
      <c r="J90" s="84" t="s">
        <v>404</v>
      </c>
      <c r="K90" s="86">
        <v>300</v>
      </c>
      <c r="L90" s="87">
        <v>299.5</v>
      </c>
      <c r="M90" s="87"/>
      <c r="N90" s="252"/>
      <c r="O90" s="81" t="s">
        <v>417</v>
      </c>
      <c r="P90" s="101">
        <v>45836</v>
      </c>
    </row>
    <row r="91" spans="1:16" s="45" customFormat="1" ht="105" x14ac:dyDescent="0.2">
      <c r="A91" s="24" t="s">
        <v>1203</v>
      </c>
      <c r="B91" s="81" t="s">
        <v>1204</v>
      </c>
      <c r="C91" s="105" t="s">
        <v>1208</v>
      </c>
      <c r="D91" s="81" t="s">
        <v>30</v>
      </c>
      <c r="E91" s="17" t="s">
        <v>26</v>
      </c>
      <c r="F91" s="83">
        <v>45835</v>
      </c>
      <c r="G91" s="81"/>
      <c r="H91" s="81"/>
      <c r="I91" s="81"/>
      <c r="J91" s="81" t="s">
        <v>404</v>
      </c>
      <c r="K91" s="182">
        <v>84</v>
      </c>
      <c r="L91" s="182">
        <f t="shared" si="2"/>
        <v>84</v>
      </c>
      <c r="M91" s="182"/>
      <c r="N91" s="252"/>
      <c r="O91" s="81" t="s">
        <v>425</v>
      </c>
      <c r="P91" s="101">
        <v>45839</v>
      </c>
    </row>
    <row r="92" spans="1:16" x14ac:dyDescent="0.25">
      <c r="A92" s="18" t="s">
        <v>1215</v>
      </c>
      <c r="B92" s="81" t="s">
        <v>1205</v>
      </c>
      <c r="C92" s="81" t="s">
        <v>1216</v>
      </c>
      <c r="D92" s="81" t="s">
        <v>30</v>
      </c>
      <c r="E92" s="17" t="s">
        <v>33</v>
      </c>
      <c r="F92" s="83">
        <v>45838</v>
      </c>
      <c r="G92" s="82"/>
      <c r="H92" s="82"/>
      <c r="I92" s="82"/>
      <c r="J92" s="81" t="s">
        <v>404</v>
      </c>
      <c r="K92" s="86">
        <v>28</v>
      </c>
      <c r="L92" s="87">
        <f t="shared" si="2"/>
        <v>28</v>
      </c>
      <c r="M92" s="87"/>
      <c r="N92" s="252"/>
      <c r="O92" s="81" t="s">
        <v>425</v>
      </c>
      <c r="P92" s="101">
        <v>45839</v>
      </c>
    </row>
    <row r="93" spans="1:16" x14ac:dyDescent="0.25">
      <c r="A93" s="18" t="s">
        <v>1217</v>
      </c>
      <c r="B93" s="81" t="s">
        <v>1206</v>
      </c>
      <c r="C93" s="139" t="s">
        <v>1218</v>
      </c>
      <c r="D93" s="81" t="s">
        <v>30</v>
      </c>
      <c r="E93" s="17" t="s">
        <v>26</v>
      </c>
      <c r="F93" s="83">
        <v>45838</v>
      </c>
      <c r="G93" s="82"/>
      <c r="H93" s="82"/>
      <c r="I93" s="82"/>
      <c r="J93" s="81" t="s">
        <v>404</v>
      </c>
      <c r="K93" s="86">
        <v>81</v>
      </c>
      <c r="L93" s="87">
        <f t="shared" si="2"/>
        <v>81</v>
      </c>
      <c r="M93" s="87"/>
      <c r="N93" s="252"/>
      <c r="O93" s="81" t="s">
        <v>1190</v>
      </c>
      <c r="P93" s="101">
        <v>45839</v>
      </c>
    </row>
    <row r="94" spans="1:16" x14ac:dyDescent="0.25">
      <c r="A94" s="18"/>
      <c r="B94" s="81" t="s">
        <v>1207</v>
      </c>
      <c r="C94" s="81"/>
      <c r="D94" s="81" t="s">
        <v>40</v>
      </c>
      <c r="E94" s="17"/>
      <c r="F94" s="83">
        <v>45840</v>
      </c>
      <c r="G94" s="82"/>
      <c r="H94" s="82"/>
      <c r="I94" s="82"/>
      <c r="J94" s="81" t="s">
        <v>404</v>
      </c>
      <c r="K94" s="86">
        <v>300</v>
      </c>
      <c r="L94" s="87">
        <f t="shared" si="2"/>
        <v>300</v>
      </c>
      <c r="M94" s="87"/>
      <c r="N94" s="252"/>
      <c r="O94" s="81" t="s">
        <v>417</v>
      </c>
      <c r="P94" s="101">
        <v>45841</v>
      </c>
    </row>
    <row r="95" spans="1:16" x14ac:dyDescent="0.25">
      <c r="A95" s="18"/>
      <c r="B95" s="81" t="s">
        <v>1242</v>
      </c>
      <c r="C95" s="81"/>
      <c r="D95" s="81" t="s">
        <v>40</v>
      </c>
      <c r="E95" s="17"/>
      <c r="F95" s="83">
        <v>45842</v>
      </c>
      <c r="G95" s="82"/>
      <c r="H95" s="82"/>
      <c r="I95" s="82"/>
      <c r="J95" s="81" t="s">
        <v>404</v>
      </c>
      <c r="K95" s="86">
        <v>300</v>
      </c>
      <c r="L95" s="87">
        <v>302.10000000000002</v>
      </c>
      <c r="M95" s="261">
        <f>L95-K95</f>
        <v>2.1000000000000227</v>
      </c>
      <c r="N95" s="252" t="s">
        <v>1365</v>
      </c>
      <c r="O95" s="81" t="s">
        <v>417</v>
      </c>
      <c r="P95" s="101">
        <v>45845</v>
      </c>
    </row>
    <row r="96" spans="1:16" x14ac:dyDescent="0.25">
      <c r="A96" s="18"/>
      <c r="B96" s="81" t="s">
        <v>1343</v>
      </c>
      <c r="C96" s="81"/>
      <c r="D96" s="81" t="s">
        <v>40</v>
      </c>
      <c r="E96" s="81"/>
      <c r="F96" s="83">
        <v>45849</v>
      </c>
      <c r="G96" s="82"/>
      <c r="H96" s="82"/>
      <c r="I96" s="82"/>
      <c r="J96" s="81" t="s">
        <v>404</v>
      </c>
      <c r="K96" s="86">
        <v>300</v>
      </c>
      <c r="L96" s="87">
        <v>302.60000000000002</v>
      </c>
      <c r="M96" s="261">
        <f>L96-K96</f>
        <v>2.6000000000000227</v>
      </c>
      <c r="N96" s="252" t="s">
        <v>1365</v>
      </c>
      <c r="O96" s="81" t="s">
        <v>417</v>
      </c>
      <c r="P96" s="194">
        <v>45849</v>
      </c>
    </row>
    <row r="97" spans="1:16" x14ac:dyDescent="0.25">
      <c r="A97" s="18"/>
      <c r="B97" s="81" t="s">
        <v>1243</v>
      </c>
      <c r="C97" s="81"/>
      <c r="D97" s="81" t="s">
        <v>40</v>
      </c>
      <c r="E97" s="81"/>
      <c r="F97" s="83">
        <v>45854</v>
      </c>
      <c r="G97" s="82"/>
      <c r="H97" s="82"/>
      <c r="I97" s="82"/>
      <c r="J97" s="81" t="s">
        <v>404</v>
      </c>
      <c r="K97" s="86">
        <v>300</v>
      </c>
      <c r="L97" s="87">
        <f t="shared" si="2"/>
        <v>300</v>
      </c>
      <c r="M97" s="87"/>
      <c r="N97" s="252"/>
      <c r="O97" s="81" t="s">
        <v>417</v>
      </c>
      <c r="P97" s="194">
        <v>45862</v>
      </c>
    </row>
    <row r="98" spans="1:16" x14ac:dyDescent="0.25">
      <c r="A98" s="18"/>
      <c r="B98" s="81" t="s">
        <v>1244</v>
      </c>
      <c r="C98" s="81"/>
      <c r="D98" s="81" t="s">
        <v>40</v>
      </c>
      <c r="E98" s="81"/>
      <c r="F98" s="83">
        <v>45862</v>
      </c>
      <c r="G98" s="82"/>
      <c r="H98" s="82"/>
      <c r="I98" s="82"/>
      <c r="J98" s="81" t="s">
        <v>404</v>
      </c>
      <c r="K98" s="86">
        <v>300</v>
      </c>
      <c r="L98" s="87">
        <f t="shared" si="2"/>
        <v>300</v>
      </c>
      <c r="M98" s="87"/>
      <c r="N98" s="252"/>
      <c r="O98" s="81" t="s">
        <v>417</v>
      </c>
      <c r="P98" s="194">
        <v>45863</v>
      </c>
    </row>
    <row r="99" spans="1:16" x14ac:dyDescent="0.25">
      <c r="A99" s="18"/>
      <c r="B99" s="81" t="s">
        <v>1334</v>
      </c>
      <c r="C99" s="81"/>
      <c r="D99" s="81" t="s">
        <v>40</v>
      </c>
      <c r="E99" s="81"/>
      <c r="F99" s="83">
        <v>45869</v>
      </c>
      <c r="G99" s="82"/>
      <c r="H99" s="82"/>
      <c r="I99" s="82"/>
      <c r="J99" s="81" t="s">
        <v>404</v>
      </c>
      <c r="K99" s="86">
        <v>300</v>
      </c>
      <c r="L99" s="87">
        <f t="shared" si="2"/>
        <v>300</v>
      </c>
      <c r="M99" s="87"/>
      <c r="N99" s="252"/>
      <c r="O99" s="81" t="s">
        <v>417</v>
      </c>
      <c r="P99" s="194">
        <v>45871</v>
      </c>
    </row>
    <row r="100" spans="1:16" x14ac:dyDescent="0.25">
      <c r="A100" s="18" t="s">
        <v>1340</v>
      </c>
      <c r="B100" s="81" t="s">
        <v>1335</v>
      </c>
      <c r="C100" s="81"/>
      <c r="D100" s="81" t="s">
        <v>40</v>
      </c>
      <c r="E100" s="82"/>
      <c r="F100" s="81"/>
      <c r="G100" s="82"/>
      <c r="H100" s="82"/>
      <c r="I100" s="82"/>
      <c r="J100" s="84"/>
      <c r="K100" s="86">
        <v>52</v>
      </c>
      <c r="L100" s="87">
        <f t="shared" si="2"/>
        <v>52</v>
      </c>
      <c r="M100" s="87"/>
      <c r="N100" s="252"/>
      <c r="O100" s="81" t="s">
        <v>520</v>
      </c>
      <c r="P100" s="194">
        <v>45873</v>
      </c>
    </row>
    <row r="101" spans="1:16" x14ac:dyDescent="0.25">
      <c r="A101" s="18" t="s">
        <v>1360</v>
      </c>
      <c r="B101" s="81" t="s">
        <v>1336</v>
      </c>
      <c r="C101" s="81" t="s">
        <v>907</v>
      </c>
      <c r="D101" s="82" t="s">
        <v>41</v>
      </c>
      <c r="E101" s="81" t="s">
        <v>33</v>
      </c>
      <c r="F101" s="83">
        <v>45876</v>
      </c>
      <c r="G101" s="82"/>
      <c r="H101" s="82"/>
      <c r="I101" s="82"/>
      <c r="J101" s="81" t="s">
        <v>404</v>
      </c>
      <c r="K101" s="86">
        <v>9</v>
      </c>
      <c r="L101" s="87">
        <f t="shared" si="2"/>
        <v>9</v>
      </c>
      <c r="M101" s="87"/>
      <c r="N101" s="252"/>
      <c r="O101" s="81" t="s">
        <v>1190</v>
      </c>
      <c r="P101" s="194">
        <v>45877</v>
      </c>
    </row>
    <row r="102" spans="1:16" x14ac:dyDescent="0.25">
      <c r="A102" s="82"/>
      <c r="B102" s="81" t="s">
        <v>1374</v>
      </c>
      <c r="C102" s="81"/>
      <c r="D102" s="82" t="s">
        <v>41</v>
      </c>
      <c r="E102" s="82"/>
      <c r="F102" s="81"/>
      <c r="G102" s="82"/>
      <c r="H102" s="82"/>
      <c r="I102" s="82"/>
      <c r="J102" s="84"/>
      <c r="K102" s="86">
        <v>300</v>
      </c>
      <c r="L102" s="87">
        <v>291</v>
      </c>
      <c r="M102" s="271">
        <f>K102-L102</f>
        <v>9</v>
      </c>
      <c r="N102" s="252" t="s">
        <v>1365</v>
      </c>
      <c r="O102" s="81" t="s">
        <v>417</v>
      </c>
      <c r="P102" s="194">
        <v>45887</v>
      </c>
    </row>
    <row r="103" spans="1:16" x14ac:dyDescent="0.25">
      <c r="A103" s="82"/>
      <c r="B103" s="81" t="s">
        <v>1387</v>
      </c>
      <c r="C103" s="81"/>
      <c r="D103" s="82" t="s">
        <v>41</v>
      </c>
      <c r="E103" s="82"/>
      <c r="F103" s="83">
        <v>45889</v>
      </c>
      <c r="G103" s="82"/>
      <c r="H103" s="82"/>
      <c r="I103" s="82"/>
      <c r="J103" s="81" t="s">
        <v>404</v>
      </c>
      <c r="K103" s="86">
        <v>300</v>
      </c>
      <c r="L103" s="87">
        <v>298</v>
      </c>
      <c r="M103" s="87"/>
      <c r="N103" s="252"/>
      <c r="O103" s="81" t="s">
        <v>417</v>
      </c>
      <c r="P103" s="101">
        <v>45890</v>
      </c>
    </row>
    <row r="104" spans="1:16" s="43" customFormat="1" x14ac:dyDescent="0.25">
      <c r="A104" s="82"/>
      <c r="B104" s="81" t="s">
        <v>1421</v>
      </c>
      <c r="C104" s="81"/>
      <c r="D104" s="82" t="s">
        <v>41</v>
      </c>
      <c r="E104" s="82"/>
      <c r="F104" s="83">
        <v>45895</v>
      </c>
      <c r="G104" s="82"/>
      <c r="H104" s="82"/>
      <c r="I104" s="82"/>
      <c r="J104" s="81" t="s">
        <v>404</v>
      </c>
      <c r="K104" s="86">
        <v>300</v>
      </c>
      <c r="L104" s="87">
        <v>300.8</v>
      </c>
      <c r="M104" s="261">
        <f t="shared" ref="M104:M110" si="3">L104-K104</f>
        <v>0.80000000000001137</v>
      </c>
      <c r="N104" s="252" t="s">
        <v>1365</v>
      </c>
      <c r="O104" s="81" t="s">
        <v>417</v>
      </c>
      <c r="P104" s="194">
        <v>45896</v>
      </c>
    </row>
    <row r="105" spans="1:16" s="43" customFormat="1" x14ac:dyDescent="0.25">
      <c r="A105" s="82"/>
      <c r="B105" s="81" t="s">
        <v>1456</v>
      </c>
      <c r="C105" s="81"/>
      <c r="D105" s="82" t="s">
        <v>1450</v>
      </c>
      <c r="E105" s="82"/>
      <c r="F105" s="83">
        <v>45908</v>
      </c>
      <c r="G105" s="82"/>
      <c r="H105" s="82"/>
      <c r="I105" s="82"/>
      <c r="J105" s="81" t="s">
        <v>404</v>
      </c>
      <c r="K105" s="86">
        <v>300</v>
      </c>
      <c r="L105" s="87">
        <v>297</v>
      </c>
      <c r="M105" s="87">
        <f t="shared" si="3"/>
        <v>-3</v>
      </c>
      <c r="N105" s="252"/>
      <c r="O105" s="81" t="s">
        <v>417</v>
      </c>
      <c r="P105" s="194">
        <v>45910</v>
      </c>
    </row>
    <row r="106" spans="1:16" s="43" customFormat="1" ht="15.75" customHeight="1" x14ac:dyDescent="0.25">
      <c r="A106" s="82"/>
      <c r="B106" s="81" t="s">
        <v>1477</v>
      </c>
      <c r="C106" s="81"/>
      <c r="D106" s="82" t="s">
        <v>1450</v>
      </c>
      <c r="E106" s="82"/>
      <c r="F106" s="83">
        <v>45915</v>
      </c>
      <c r="G106" s="82"/>
      <c r="H106" s="82"/>
      <c r="I106" s="82"/>
      <c r="J106" s="81" t="s">
        <v>404</v>
      </c>
      <c r="K106" s="86">
        <v>300</v>
      </c>
      <c r="L106" s="87">
        <v>300.60000000000002</v>
      </c>
      <c r="M106" s="261">
        <f t="shared" si="3"/>
        <v>0.60000000000002274</v>
      </c>
      <c r="N106" s="252" t="s">
        <v>1365</v>
      </c>
      <c r="O106" s="81" t="s">
        <v>520</v>
      </c>
      <c r="P106" s="194">
        <v>45916</v>
      </c>
    </row>
    <row r="107" spans="1:16" s="43" customFormat="1" x14ac:dyDescent="0.25">
      <c r="A107" s="82"/>
      <c r="B107" s="81" t="s">
        <v>1506</v>
      </c>
      <c r="C107" s="81"/>
      <c r="D107" s="82" t="s">
        <v>1450</v>
      </c>
      <c r="E107" s="82"/>
      <c r="F107" s="83">
        <v>45923</v>
      </c>
      <c r="G107" s="82"/>
      <c r="H107" s="82"/>
      <c r="I107" s="82"/>
      <c r="J107" s="81" t="s">
        <v>404</v>
      </c>
      <c r="K107" s="86">
        <v>300</v>
      </c>
      <c r="L107" s="87">
        <v>297.5</v>
      </c>
      <c r="M107" s="87">
        <f t="shared" si="3"/>
        <v>-2.5</v>
      </c>
      <c r="N107" s="252"/>
      <c r="O107" s="81" t="s">
        <v>417</v>
      </c>
      <c r="P107" s="194">
        <v>45924</v>
      </c>
    </row>
    <row r="108" spans="1:16" s="43" customFormat="1" x14ac:dyDescent="0.25">
      <c r="A108" s="82"/>
      <c r="B108" s="81" t="s">
        <v>1532</v>
      </c>
      <c r="C108" s="81"/>
      <c r="D108" s="82" t="s">
        <v>43</v>
      </c>
      <c r="E108" s="82"/>
      <c r="F108" s="83">
        <v>45936</v>
      </c>
      <c r="G108" s="82"/>
      <c r="H108" s="82"/>
      <c r="I108" s="82"/>
      <c r="J108" s="81" t="s">
        <v>404</v>
      </c>
      <c r="K108" s="86">
        <v>300</v>
      </c>
      <c r="L108" s="87">
        <v>296.5</v>
      </c>
      <c r="M108" s="87">
        <f t="shared" si="3"/>
        <v>-3.5</v>
      </c>
      <c r="N108" s="252"/>
      <c r="O108" s="81" t="s">
        <v>417</v>
      </c>
      <c r="P108" s="267">
        <v>45939</v>
      </c>
    </row>
    <row r="109" spans="1:16" s="43" customFormat="1" x14ac:dyDescent="0.25">
      <c r="A109" s="82"/>
      <c r="B109" s="81" t="s">
        <v>1558</v>
      </c>
      <c r="C109" s="81"/>
      <c r="D109" s="82" t="s">
        <v>43</v>
      </c>
      <c r="E109" s="82"/>
      <c r="F109" s="83">
        <v>45943</v>
      </c>
      <c r="G109" s="82"/>
      <c r="H109" s="82"/>
      <c r="I109" s="82"/>
      <c r="J109" s="81" t="s">
        <v>404</v>
      </c>
      <c r="K109" s="86">
        <v>300</v>
      </c>
      <c r="L109" s="87">
        <v>301.5</v>
      </c>
      <c r="M109" s="261">
        <f t="shared" si="3"/>
        <v>1.5</v>
      </c>
      <c r="N109" s="252" t="s">
        <v>1365</v>
      </c>
      <c r="O109" s="81" t="s">
        <v>417</v>
      </c>
      <c r="P109" s="194">
        <v>45945</v>
      </c>
    </row>
    <row r="110" spans="1:16" x14ac:dyDescent="0.25">
      <c r="A110" s="82"/>
      <c r="B110" s="81" t="s">
        <v>1588</v>
      </c>
      <c r="C110" s="81"/>
      <c r="D110" s="82" t="s">
        <v>43</v>
      </c>
      <c r="E110" s="82"/>
      <c r="F110" s="83">
        <v>45953</v>
      </c>
      <c r="G110" s="82"/>
      <c r="H110" s="82"/>
      <c r="I110" s="82"/>
      <c r="J110" s="82" t="s">
        <v>404</v>
      </c>
      <c r="K110" s="86">
        <v>300</v>
      </c>
      <c r="L110" s="87">
        <v>291</v>
      </c>
      <c r="M110" s="87">
        <f t="shared" si="3"/>
        <v>-9</v>
      </c>
      <c r="N110" s="252"/>
      <c r="O110" s="81" t="s">
        <v>417</v>
      </c>
      <c r="P110" s="194">
        <v>45957</v>
      </c>
    </row>
    <row r="111" spans="1:16" s="43" customFormat="1" x14ac:dyDescent="0.25">
      <c r="A111" s="82"/>
      <c r="B111" s="81" t="s">
        <v>1615</v>
      </c>
      <c r="C111" s="81"/>
      <c r="D111" s="82" t="s">
        <v>44</v>
      </c>
      <c r="E111" s="274"/>
      <c r="F111" s="83">
        <v>45964</v>
      </c>
      <c r="G111" s="82"/>
      <c r="H111" s="82"/>
      <c r="I111" s="82"/>
      <c r="J111" s="81" t="s">
        <v>404</v>
      </c>
      <c r="K111" s="86">
        <v>300</v>
      </c>
      <c r="L111" s="87"/>
      <c r="M111" s="87"/>
      <c r="N111" s="252"/>
      <c r="O111" s="81" t="s">
        <v>417</v>
      </c>
      <c r="P111" s="194">
        <v>45968</v>
      </c>
    </row>
    <row r="112" spans="1:16" s="43" customFormat="1" x14ac:dyDescent="0.25">
      <c r="A112" s="82"/>
      <c r="B112" s="81" t="s">
        <v>1633</v>
      </c>
      <c r="C112" s="81"/>
      <c r="D112" s="82" t="s">
        <v>44</v>
      </c>
      <c r="E112" s="274"/>
      <c r="F112" s="83">
        <v>45972</v>
      </c>
      <c r="G112" s="82"/>
      <c r="H112" s="82"/>
      <c r="I112" s="82"/>
      <c r="J112" s="81" t="s">
        <v>404</v>
      </c>
      <c r="K112" s="86">
        <v>300</v>
      </c>
      <c r="L112" s="87">
        <v>301.60000000000002</v>
      </c>
      <c r="M112" s="87"/>
      <c r="N112" s="252"/>
      <c r="O112" s="81" t="s">
        <v>417</v>
      </c>
      <c r="P112" s="194">
        <v>45973</v>
      </c>
    </row>
    <row r="113" spans="1:16" x14ac:dyDescent="0.25">
      <c r="A113" s="82"/>
      <c r="B113" s="81" t="s">
        <v>1640</v>
      </c>
      <c r="C113" s="81"/>
      <c r="D113" s="82" t="s">
        <v>44</v>
      </c>
      <c r="E113" s="82"/>
      <c r="F113" s="83">
        <v>45980</v>
      </c>
      <c r="G113" s="82"/>
      <c r="H113" s="82"/>
      <c r="I113" s="82"/>
      <c r="J113" s="81" t="s">
        <v>404</v>
      </c>
      <c r="K113" s="86">
        <v>300</v>
      </c>
      <c r="L113" s="87"/>
      <c r="M113" s="87"/>
      <c r="N113" s="252"/>
      <c r="O113" s="81" t="s">
        <v>417</v>
      </c>
      <c r="P113" s="194">
        <v>45981</v>
      </c>
    </row>
    <row r="114" spans="1:16" s="43" customFormat="1" x14ac:dyDescent="0.25">
      <c r="A114" s="82"/>
      <c r="B114" s="81" t="s">
        <v>1656</v>
      </c>
      <c r="C114" s="81"/>
      <c r="D114" s="82" t="s">
        <v>44</v>
      </c>
      <c r="E114" s="82"/>
      <c r="F114" s="83">
        <v>45986</v>
      </c>
      <c r="G114" s="82"/>
      <c r="H114" s="82"/>
      <c r="I114" s="82"/>
      <c r="J114" s="81" t="s">
        <v>404</v>
      </c>
      <c r="K114" s="86">
        <v>300</v>
      </c>
      <c r="L114" s="87"/>
      <c r="M114" s="87"/>
      <c r="N114" s="252"/>
      <c r="O114" s="81" t="s">
        <v>417</v>
      </c>
      <c r="P114" s="194">
        <v>45989</v>
      </c>
    </row>
    <row r="115" spans="1:16" x14ac:dyDescent="0.25">
      <c r="A115" s="82"/>
      <c r="B115" s="81" t="s">
        <v>1665</v>
      </c>
      <c r="C115" s="81"/>
      <c r="D115" s="82" t="s">
        <v>45</v>
      </c>
      <c r="E115" s="82"/>
      <c r="F115" s="83">
        <v>45994</v>
      </c>
      <c r="G115" s="82"/>
      <c r="H115" s="82"/>
      <c r="I115" s="82"/>
      <c r="J115" s="81" t="s">
        <v>404</v>
      </c>
      <c r="K115" s="86">
        <v>300</v>
      </c>
      <c r="L115" s="87"/>
      <c r="M115" s="87"/>
      <c r="N115" s="252"/>
      <c r="O115" s="81" t="s">
        <v>417</v>
      </c>
      <c r="P115" s="194">
        <v>46003</v>
      </c>
    </row>
    <row r="116" spans="1:16" x14ac:dyDescent="0.25">
      <c r="A116" s="82"/>
      <c r="B116" s="81" t="s">
        <v>1682</v>
      </c>
      <c r="C116" s="81"/>
      <c r="D116" s="82" t="s">
        <v>45</v>
      </c>
      <c r="E116" s="82"/>
      <c r="F116" s="83">
        <v>46007</v>
      </c>
      <c r="G116" s="82"/>
      <c r="H116" s="82"/>
      <c r="I116" s="82"/>
      <c r="J116" s="81" t="s">
        <v>404</v>
      </c>
      <c r="K116" s="86">
        <v>300</v>
      </c>
      <c r="L116" s="87"/>
      <c r="M116" s="87"/>
      <c r="N116" s="252"/>
      <c r="O116" s="81" t="s">
        <v>417</v>
      </c>
      <c r="P116" s="194">
        <v>46013</v>
      </c>
    </row>
    <row r="117" spans="1:16" s="43" customFormat="1" x14ac:dyDescent="0.25">
      <c r="A117" s="82"/>
      <c r="B117" s="81" t="s">
        <v>1713</v>
      </c>
      <c r="C117" s="81"/>
      <c r="D117" s="82" t="s">
        <v>45</v>
      </c>
      <c r="E117" s="82"/>
      <c r="F117" s="83">
        <v>46014</v>
      </c>
      <c r="G117" s="82"/>
      <c r="H117" s="82"/>
      <c r="I117" s="82"/>
      <c r="J117" s="81" t="s">
        <v>404</v>
      </c>
      <c r="K117" s="86">
        <v>300</v>
      </c>
      <c r="L117" s="87"/>
      <c r="M117" s="87"/>
      <c r="N117" s="252"/>
      <c r="O117" s="81" t="s">
        <v>417</v>
      </c>
      <c r="P117" s="194">
        <v>46014</v>
      </c>
    </row>
    <row r="118" spans="1:16" x14ac:dyDescent="0.25">
      <c r="A118" s="18"/>
      <c r="B118" s="265" t="s">
        <v>1724</v>
      </c>
      <c r="C118" s="17"/>
      <c r="D118" s="18" t="s">
        <v>45</v>
      </c>
      <c r="E118" s="18"/>
      <c r="F118" s="278">
        <v>46020</v>
      </c>
      <c r="G118" s="18"/>
      <c r="H118" s="18"/>
      <c r="I118" s="18"/>
      <c r="J118" s="17" t="s">
        <v>404</v>
      </c>
      <c r="K118" s="277">
        <v>300</v>
      </c>
      <c r="L118" s="49"/>
      <c r="M118" s="49"/>
      <c r="N118" s="262"/>
      <c r="O118" s="17" t="s">
        <v>417</v>
      </c>
      <c r="P118" s="18"/>
    </row>
    <row r="119" spans="1:16" x14ac:dyDescent="0.25">
      <c r="A119" s="18"/>
      <c r="B119" s="17"/>
      <c r="C119" s="17"/>
      <c r="D119" s="18"/>
      <c r="E119" s="18"/>
      <c r="F119" s="17"/>
      <c r="G119" s="18"/>
      <c r="H119" s="18"/>
      <c r="I119" s="18"/>
      <c r="J119" s="15"/>
      <c r="K119" s="37"/>
      <c r="L119" s="49"/>
      <c r="M119" s="49"/>
      <c r="N119" s="262"/>
      <c r="O119" s="17"/>
      <c r="P119" s="18"/>
    </row>
    <row r="120" spans="1:16" x14ac:dyDescent="0.25">
      <c r="A120" s="18"/>
      <c r="B120" s="17"/>
      <c r="C120" s="17"/>
      <c r="D120" s="18"/>
      <c r="E120" s="18"/>
      <c r="F120" s="17"/>
      <c r="G120" s="18"/>
      <c r="H120" s="18"/>
      <c r="I120" s="18"/>
      <c r="J120" s="15"/>
      <c r="K120" s="37"/>
      <c r="L120" s="49"/>
      <c r="M120" s="49"/>
      <c r="N120" s="262"/>
      <c r="O120" s="17"/>
      <c r="P120" s="18"/>
    </row>
    <row r="121" spans="1:16" x14ac:dyDescent="0.25">
      <c r="A121" s="18"/>
      <c r="B121" s="17"/>
      <c r="C121" s="17"/>
      <c r="D121" s="18"/>
      <c r="E121" s="18"/>
      <c r="F121" s="17"/>
      <c r="G121" s="18"/>
      <c r="H121" s="18"/>
      <c r="I121" s="18"/>
      <c r="J121" s="15"/>
      <c r="K121" s="37"/>
      <c r="L121" s="49"/>
      <c r="M121" s="49"/>
      <c r="N121" s="262"/>
      <c r="O121" s="17"/>
      <c r="P121" s="18"/>
    </row>
    <row r="122" spans="1:16" x14ac:dyDescent="0.25">
      <c r="A122" s="18"/>
      <c r="B122" s="17"/>
      <c r="C122" s="17"/>
      <c r="D122" s="18"/>
      <c r="E122" s="18"/>
      <c r="F122" s="17"/>
      <c r="G122" s="18"/>
      <c r="H122" s="18"/>
      <c r="I122" s="18"/>
      <c r="J122" s="15"/>
      <c r="K122" s="37"/>
      <c r="L122" s="49"/>
      <c r="M122" s="49"/>
      <c r="N122" s="262"/>
      <c r="O122" s="17"/>
      <c r="P122" s="18"/>
    </row>
    <row r="123" spans="1:16" x14ac:dyDescent="0.25">
      <c r="A123" s="18"/>
      <c r="B123" s="17"/>
      <c r="C123" s="17"/>
      <c r="D123" s="18"/>
      <c r="E123" s="18"/>
      <c r="F123" s="17"/>
      <c r="G123" s="18"/>
      <c r="H123" s="18"/>
      <c r="I123" s="18"/>
      <c r="J123" s="15"/>
      <c r="K123" s="37"/>
      <c r="L123" s="49"/>
      <c r="M123" s="49"/>
      <c r="N123" s="262"/>
      <c r="O123" s="17"/>
      <c r="P123" s="18"/>
    </row>
    <row r="124" spans="1:16" x14ac:dyDescent="0.25">
      <c r="A124" s="18"/>
      <c r="B124" s="17"/>
      <c r="C124" s="17"/>
      <c r="D124" s="18"/>
      <c r="E124" s="18"/>
      <c r="F124" s="17"/>
      <c r="G124" s="18"/>
      <c r="H124" s="18"/>
      <c r="I124" s="18"/>
      <c r="J124" s="15"/>
      <c r="K124" s="37"/>
      <c r="L124" s="49"/>
      <c r="M124" s="49"/>
      <c r="N124" s="262"/>
      <c r="O124" s="17"/>
      <c r="P124" s="18"/>
    </row>
    <row r="125" spans="1:16" x14ac:dyDescent="0.25">
      <c r="A125" s="18"/>
      <c r="B125" s="17"/>
      <c r="C125" s="17"/>
      <c r="D125" s="18"/>
      <c r="E125" s="18"/>
      <c r="F125" s="17"/>
      <c r="G125" s="18"/>
      <c r="H125" s="18"/>
      <c r="I125" s="18"/>
      <c r="J125" s="15"/>
      <c r="K125" s="37"/>
      <c r="L125" s="49"/>
      <c r="M125" s="49"/>
      <c r="N125" s="262"/>
      <c r="O125" s="17"/>
      <c r="P125" s="18"/>
    </row>
    <row r="126" spans="1:16" x14ac:dyDescent="0.25">
      <c r="A126" s="18"/>
      <c r="B126" s="17"/>
      <c r="C126" s="17"/>
      <c r="D126" s="18"/>
      <c r="E126" s="18"/>
      <c r="F126" s="17"/>
      <c r="G126" s="18"/>
      <c r="H126" s="18"/>
      <c r="I126" s="18"/>
      <c r="J126" s="15"/>
      <c r="K126" s="37"/>
      <c r="L126" s="49"/>
      <c r="M126" s="49"/>
      <c r="N126" s="262"/>
      <c r="O126" s="17"/>
      <c r="P126" s="18"/>
    </row>
    <row r="127" spans="1:16" x14ac:dyDescent="0.25">
      <c r="A127" s="18"/>
      <c r="B127" s="17"/>
      <c r="C127" s="17"/>
      <c r="D127" s="18"/>
      <c r="E127" s="18"/>
      <c r="F127" s="17"/>
      <c r="G127" s="18"/>
      <c r="H127" s="18"/>
      <c r="I127" s="18"/>
      <c r="J127" s="15"/>
      <c r="K127" s="37"/>
      <c r="L127" s="49"/>
      <c r="M127" s="49"/>
      <c r="N127" s="262"/>
      <c r="O127" s="17"/>
      <c r="P127" s="18"/>
    </row>
    <row r="128" spans="1:16" x14ac:dyDescent="0.25">
      <c r="A128" s="18"/>
      <c r="B128" s="17"/>
      <c r="C128" s="17"/>
      <c r="D128" s="18"/>
      <c r="E128" s="18"/>
      <c r="F128" s="17"/>
      <c r="G128" s="18"/>
      <c r="H128" s="18"/>
      <c r="I128" s="18"/>
      <c r="J128" s="15"/>
      <c r="K128" s="37"/>
      <c r="L128" s="49"/>
      <c r="M128" s="49"/>
      <c r="N128" s="262"/>
      <c r="O128" s="17"/>
      <c r="P128" s="18"/>
    </row>
    <row r="129" spans="1:16" x14ac:dyDescent="0.25">
      <c r="A129" s="18"/>
      <c r="B129" s="17"/>
      <c r="C129" s="17"/>
      <c r="D129" s="18"/>
      <c r="E129" s="18"/>
      <c r="F129" s="17"/>
      <c r="G129" s="18"/>
      <c r="H129" s="18"/>
      <c r="I129" s="18"/>
      <c r="J129" s="15"/>
      <c r="K129" s="37"/>
      <c r="L129" s="49"/>
      <c r="M129" s="49"/>
      <c r="N129" s="262"/>
      <c r="O129" s="17"/>
      <c r="P129" s="18"/>
    </row>
    <row r="130" spans="1:16" x14ac:dyDescent="0.25">
      <c r="A130" s="18"/>
      <c r="B130" s="17"/>
      <c r="C130" s="17"/>
      <c r="D130" s="18"/>
      <c r="E130" s="18"/>
      <c r="F130" s="17"/>
      <c r="G130" s="18"/>
      <c r="H130" s="18"/>
      <c r="I130" s="18"/>
      <c r="J130" s="15"/>
      <c r="K130" s="37"/>
      <c r="L130" s="49"/>
      <c r="M130" s="49"/>
      <c r="N130" s="262"/>
      <c r="O130" s="17"/>
      <c r="P130" s="18"/>
    </row>
    <row r="131" spans="1:16" x14ac:dyDescent="0.25">
      <c r="A131" s="18"/>
      <c r="B131" s="17"/>
      <c r="C131" s="17"/>
      <c r="D131" s="18"/>
      <c r="E131" s="18"/>
      <c r="F131" s="17"/>
      <c r="G131" s="18"/>
      <c r="H131" s="18"/>
      <c r="I131" s="18"/>
      <c r="J131" s="15"/>
      <c r="K131" s="37"/>
      <c r="L131" s="49"/>
      <c r="M131" s="49"/>
      <c r="N131" s="262"/>
      <c r="O131" s="17"/>
      <c r="P131" s="18"/>
    </row>
    <row r="132" spans="1:16" x14ac:dyDescent="0.25">
      <c r="A132" s="18"/>
      <c r="B132" s="17"/>
      <c r="C132" s="17"/>
      <c r="D132" s="18"/>
      <c r="E132" s="18"/>
      <c r="F132" s="17"/>
      <c r="G132" s="18"/>
      <c r="H132" s="18"/>
      <c r="I132" s="18"/>
      <c r="J132" s="15"/>
      <c r="K132" s="37"/>
      <c r="L132" s="49"/>
      <c r="M132" s="49"/>
      <c r="N132" s="262"/>
      <c r="O132" s="17"/>
      <c r="P132" s="18"/>
    </row>
    <row r="133" spans="1:16" x14ac:dyDescent="0.25">
      <c r="A133" s="18"/>
      <c r="B133" s="17"/>
      <c r="C133" s="17"/>
      <c r="D133" s="18"/>
      <c r="E133" s="18"/>
      <c r="F133" s="17"/>
      <c r="G133" s="18"/>
      <c r="H133" s="18"/>
      <c r="I133" s="18"/>
      <c r="J133" s="15"/>
      <c r="K133" s="37"/>
      <c r="L133" s="49"/>
      <c r="M133" s="49"/>
      <c r="N133" s="262"/>
      <c r="O133" s="17"/>
      <c r="P133" s="18"/>
    </row>
    <row r="134" spans="1:16" x14ac:dyDescent="0.25">
      <c r="A134" s="18"/>
      <c r="B134" s="17"/>
      <c r="C134" s="17"/>
      <c r="D134" s="18"/>
      <c r="E134" s="18"/>
      <c r="F134" s="17"/>
      <c r="G134" s="18"/>
      <c r="H134" s="18"/>
      <c r="I134" s="18"/>
      <c r="J134" s="15"/>
      <c r="K134" s="37"/>
      <c r="L134" s="49"/>
      <c r="M134" s="49"/>
      <c r="N134" s="262"/>
      <c r="O134" s="17"/>
      <c r="P134" s="18"/>
    </row>
    <row r="135" spans="1:16" x14ac:dyDescent="0.25">
      <c r="A135" s="18"/>
      <c r="B135" s="17"/>
      <c r="C135" s="17"/>
      <c r="D135" s="18"/>
      <c r="E135" s="18"/>
      <c r="F135" s="17"/>
      <c r="G135" s="18"/>
      <c r="H135" s="18"/>
      <c r="I135" s="18"/>
      <c r="J135" s="15"/>
      <c r="K135" s="37"/>
      <c r="L135" s="49"/>
      <c r="M135" s="49"/>
      <c r="N135" s="262"/>
      <c r="O135" s="17"/>
      <c r="P135" s="18"/>
    </row>
    <row r="136" spans="1:16" x14ac:dyDescent="0.25">
      <c r="A136" s="18"/>
      <c r="B136" s="17"/>
      <c r="C136" s="17"/>
      <c r="D136" s="18"/>
      <c r="E136" s="18"/>
      <c r="F136" s="17"/>
      <c r="G136" s="18"/>
      <c r="H136" s="18"/>
      <c r="I136" s="18"/>
      <c r="J136" s="15"/>
      <c r="K136" s="37"/>
      <c r="L136" s="49"/>
      <c r="M136" s="49"/>
      <c r="N136" s="262"/>
      <c r="O136" s="17"/>
      <c r="P136" s="18"/>
    </row>
    <row r="137" spans="1:16" x14ac:dyDescent="0.25">
      <c r="A137" s="18"/>
      <c r="B137" s="17"/>
      <c r="C137" s="17"/>
      <c r="D137" s="18"/>
      <c r="E137" s="18"/>
      <c r="F137" s="17"/>
      <c r="G137" s="18"/>
      <c r="H137" s="18"/>
      <c r="I137" s="18"/>
      <c r="J137" s="15"/>
      <c r="K137" s="37"/>
      <c r="L137" s="49"/>
      <c r="M137" s="49"/>
      <c r="N137" s="262"/>
      <c r="O137" s="17"/>
      <c r="P137" s="18"/>
    </row>
    <row r="138" spans="1:16" x14ac:dyDescent="0.25">
      <c r="A138" s="18"/>
      <c r="B138" s="17"/>
      <c r="C138" s="17"/>
      <c r="D138" s="18"/>
      <c r="E138" s="18"/>
      <c r="F138" s="17"/>
      <c r="G138" s="18"/>
      <c r="H138" s="18"/>
      <c r="I138" s="18"/>
      <c r="J138" s="15"/>
      <c r="K138" s="37"/>
      <c r="L138" s="49"/>
      <c r="M138" s="49"/>
      <c r="N138" s="262"/>
      <c r="O138" s="17"/>
      <c r="P138" s="18"/>
    </row>
    <row r="139" spans="1:16" x14ac:dyDescent="0.25">
      <c r="A139" s="18"/>
      <c r="B139" s="17"/>
      <c r="C139" s="17"/>
      <c r="D139" s="18"/>
      <c r="E139" s="18"/>
      <c r="F139" s="17"/>
      <c r="G139" s="18"/>
      <c r="H139" s="18"/>
      <c r="I139" s="18"/>
      <c r="J139" s="15"/>
      <c r="K139" s="37"/>
      <c r="L139" s="49"/>
      <c r="M139" s="49"/>
      <c r="N139" s="262"/>
      <c r="O139" s="17"/>
      <c r="P139" s="18"/>
    </row>
    <row r="140" spans="1:16" x14ac:dyDescent="0.25">
      <c r="A140" s="18"/>
      <c r="B140" s="17"/>
      <c r="C140" s="17"/>
      <c r="D140" s="18"/>
      <c r="E140" s="18"/>
      <c r="F140" s="17"/>
      <c r="G140" s="18"/>
      <c r="H140" s="18"/>
      <c r="I140" s="18"/>
      <c r="J140" s="15"/>
      <c r="K140" s="37"/>
      <c r="L140" s="49"/>
      <c r="M140" s="49"/>
      <c r="N140" s="262"/>
      <c r="O140" s="17"/>
      <c r="P140" s="18"/>
    </row>
    <row r="141" spans="1:16" x14ac:dyDescent="0.25">
      <c r="A141" s="18"/>
      <c r="B141" s="17"/>
      <c r="C141" s="17"/>
      <c r="D141" s="18"/>
      <c r="E141" s="18"/>
      <c r="F141" s="17"/>
      <c r="G141" s="18"/>
      <c r="H141" s="18"/>
      <c r="I141" s="18"/>
      <c r="J141" s="15"/>
      <c r="K141" s="37"/>
      <c r="L141" s="49"/>
      <c r="M141" s="49"/>
      <c r="N141" s="262"/>
      <c r="O141" s="17"/>
      <c r="P141" s="18"/>
    </row>
    <row r="142" spans="1:16" x14ac:dyDescent="0.25">
      <c r="A142" s="18"/>
      <c r="B142" s="17"/>
      <c r="C142" s="17"/>
      <c r="D142" s="18"/>
      <c r="E142" s="18"/>
      <c r="F142" s="17"/>
      <c r="G142" s="18"/>
      <c r="H142" s="18"/>
      <c r="I142" s="18"/>
      <c r="J142" s="15"/>
      <c r="K142" s="37"/>
      <c r="L142" s="49"/>
      <c r="M142" s="49"/>
      <c r="N142" s="262"/>
      <c r="O142" s="17"/>
      <c r="P142" s="18"/>
    </row>
    <row r="143" spans="1:16" x14ac:dyDescent="0.25">
      <c r="A143" s="18"/>
      <c r="B143" s="17"/>
      <c r="C143" s="17"/>
      <c r="D143" s="18"/>
      <c r="E143" s="18"/>
      <c r="F143" s="17"/>
      <c r="G143" s="18"/>
      <c r="H143" s="18"/>
      <c r="I143" s="18"/>
      <c r="J143" s="15"/>
      <c r="K143" s="37"/>
      <c r="L143" s="49"/>
      <c r="M143" s="49"/>
      <c r="N143" s="262"/>
      <c r="O143" s="17"/>
      <c r="P143" s="18"/>
    </row>
    <row r="144" spans="1:16" x14ac:dyDescent="0.25">
      <c r="A144" s="18"/>
      <c r="B144" s="17"/>
      <c r="C144" s="17"/>
      <c r="D144" s="18"/>
      <c r="E144" s="18"/>
      <c r="F144" s="17"/>
      <c r="G144" s="18"/>
      <c r="H144" s="18"/>
      <c r="I144" s="18"/>
      <c r="J144" s="15"/>
      <c r="K144" s="37"/>
      <c r="L144" s="49"/>
      <c r="M144" s="49"/>
      <c r="N144" s="262"/>
      <c r="O144" s="17"/>
      <c r="P144" s="18"/>
    </row>
    <row r="145" spans="1:16" x14ac:dyDescent="0.25">
      <c r="A145" s="18"/>
      <c r="B145" s="17"/>
      <c r="C145" s="17"/>
      <c r="D145" s="18"/>
      <c r="E145" s="18"/>
      <c r="F145" s="17"/>
      <c r="G145" s="18"/>
      <c r="H145" s="18"/>
      <c r="I145" s="18"/>
      <c r="J145" s="15"/>
      <c r="K145" s="37"/>
      <c r="L145" s="49"/>
      <c r="M145" s="49"/>
      <c r="N145" s="262"/>
      <c r="O145" s="17"/>
      <c r="P145" s="18"/>
    </row>
    <row r="146" spans="1:16" x14ac:dyDescent="0.25">
      <c r="A146" s="18"/>
      <c r="B146" s="17"/>
      <c r="C146" s="17"/>
      <c r="D146" s="18"/>
      <c r="E146" s="18"/>
      <c r="F146" s="17"/>
      <c r="G146" s="18"/>
      <c r="H146" s="18"/>
      <c r="I146" s="18"/>
      <c r="J146" s="15"/>
      <c r="K146" s="37"/>
      <c r="L146" s="49"/>
      <c r="M146" s="49"/>
      <c r="N146" s="262"/>
      <c r="O146" s="17"/>
      <c r="P146" s="18"/>
    </row>
    <row r="147" spans="1:16" x14ac:dyDescent="0.25">
      <c r="A147" s="18"/>
      <c r="B147" s="17"/>
      <c r="C147" s="17"/>
      <c r="D147" s="18"/>
      <c r="E147" s="18"/>
      <c r="F147" s="17"/>
      <c r="G147" s="18"/>
      <c r="H147" s="18"/>
      <c r="I147" s="18"/>
      <c r="J147" s="15"/>
      <c r="K147" s="37"/>
      <c r="L147" s="49"/>
      <c r="M147" s="49"/>
      <c r="N147" s="262"/>
      <c r="O147" s="17"/>
      <c r="P147" s="18"/>
    </row>
    <row r="148" spans="1:16" x14ac:dyDescent="0.25">
      <c r="A148" s="18"/>
      <c r="B148" s="17"/>
      <c r="C148" s="17"/>
      <c r="D148" s="18"/>
      <c r="E148" s="18"/>
      <c r="F148" s="17"/>
      <c r="G148" s="18"/>
      <c r="H148" s="18"/>
      <c r="I148" s="18"/>
      <c r="J148" s="15"/>
      <c r="K148" s="37"/>
      <c r="L148" s="49"/>
      <c r="M148" s="49"/>
      <c r="N148" s="262"/>
      <c r="O148" s="17"/>
      <c r="P148" s="18"/>
    </row>
    <row r="149" spans="1:16" x14ac:dyDescent="0.25">
      <c r="A149" s="18"/>
      <c r="B149" s="17"/>
      <c r="C149" s="17"/>
      <c r="D149" s="18"/>
      <c r="E149" s="18"/>
      <c r="F149" s="17"/>
      <c r="G149" s="18"/>
      <c r="H149" s="18"/>
      <c r="I149" s="18"/>
      <c r="J149" s="15"/>
      <c r="K149" s="37"/>
      <c r="L149" s="49"/>
      <c r="M149" s="49"/>
      <c r="N149" s="262"/>
      <c r="O149" s="17"/>
      <c r="P149" s="18"/>
    </row>
    <row r="150" spans="1:16" x14ac:dyDescent="0.25">
      <c r="A150" s="18"/>
      <c r="B150" s="17"/>
      <c r="C150" s="17"/>
      <c r="D150" s="18"/>
      <c r="E150" s="18"/>
      <c r="F150" s="17"/>
      <c r="G150" s="18"/>
      <c r="H150" s="18"/>
      <c r="I150" s="18"/>
      <c r="J150" s="15"/>
      <c r="K150" s="37"/>
      <c r="L150" s="49"/>
      <c r="M150" s="49"/>
      <c r="N150" s="262"/>
      <c r="O150" s="17"/>
      <c r="P150" s="18"/>
    </row>
    <row r="151" spans="1:16" x14ac:dyDescent="0.25">
      <c r="A151" s="18"/>
      <c r="B151" s="17"/>
      <c r="C151" s="17"/>
      <c r="D151" s="18"/>
      <c r="E151" s="18"/>
      <c r="F151" s="17"/>
      <c r="G151" s="18"/>
      <c r="H151" s="18"/>
      <c r="I151" s="18"/>
      <c r="J151" s="15"/>
      <c r="K151" s="37"/>
      <c r="L151" s="49"/>
      <c r="M151" s="49"/>
      <c r="N151" s="262"/>
      <c r="O151" s="17"/>
      <c r="P151" s="18"/>
    </row>
    <row r="152" spans="1:16" x14ac:dyDescent="0.25">
      <c r="A152" s="18"/>
      <c r="B152" s="17"/>
      <c r="C152" s="17"/>
      <c r="D152" s="18"/>
      <c r="E152" s="18"/>
      <c r="F152" s="17"/>
      <c r="G152" s="18"/>
      <c r="H152" s="18"/>
      <c r="I152" s="18"/>
      <c r="J152" s="15"/>
      <c r="K152" s="37"/>
      <c r="L152" s="49"/>
      <c r="M152" s="49"/>
      <c r="N152" s="262"/>
      <c r="O152" s="17"/>
      <c r="P152" s="18"/>
    </row>
    <row r="153" spans="1:16" x14ac:dyDescent="0.25">
      <c r="A153" s="18"/>
      <c r="B153" s="17"/>
      <c r="C153" s="17"/>
      <c r="D153" s="18"/>
      <c r="E153" s="18"/>
      <c r="F153" s="17"/>
      <c r="G153" s="18"/>
      <c r="H153" s="18"/>
      <c r="I153" s="18"/>
      <c r="J153" s="15"/>
      <c r="K153" s="37"/>
      <c r="L153" s="49"/>
      <c r="M153" s="49"/>
      <c r="N153" s="262"/>
      <c r="O153" s="17"/>
      <c r="P153" s="18"/>
    </row>
    <row r="154" spans="1:16" x14ac:dyDescent="0.25">
      <c r="A154" s="18"/>
      <c r="B154" s="17"/>
      <c r="C154" s="17"/>
      <c r="D154" s="18"/>
      <c r="E154" s="18"/>
      <c r="F154" s="17"/>
      <c r="G154" s="18"/>
      <c r="H154" s="18"/>
      <c r="I154" s="18"/>
      <c r="J154" s="15"/>
      <c r="K154" s="37"/>
      <c r="L154" s="49"/>
      <c r="M154" s="49"/>
      <c r="N154" s="262"/>
      <c r="O154" s="17"/>
      <c r="P154" s="18"/>
    </row>
    <row r="155" spans="1:16" x14ac:dyDescent="0.25">
      <c r="A155" s="18"/>
      <c r="B155" s="17"/>
      <c r="C155" s="17"/>
      <c r="D155" s="18"/>
      <c r="E155" s="18"/>
      <c r="F155" s="17"/>
      <c r="G155" s="18"/>
      <c r="H155" s="18"/>
      <c r="I155" s="18"/>
      <c r="J155" s="15"/>
      <c r="K155" s="37"/>
      <c r="L155" s="49"/>
      <c r="M155" s="49"/>
      <c r="N155" s="262"/>
      <c r="O155" s="17"/>
      <c r="P155" s="18"/>
    </row>
    <row r="156" spans="1:16" x14ac:dyDescent="0.25">
      <c r="A156" s="18"/>
      <c r="B156" s="17"/>
      <c r="C156" s="17"/>
      <c r="D156" s="18"/>
      <c r="E156" s="18"/>
      <c r="F156" s="17"/>
      <c r="G156" s="18"/>
      <c r="H156" s="18"/>
      <c r="I156" s="18"/>
      <c r="J156" s="15"/>
      <c r="K156" s="37"/>
      <c r="L156" s="49"/>
      <c r="M156" s="49"/>
      <c r="N156" s="262"/>
      <c r="O156" s="17"/>
      <c r="P156" s="18"/>
    </row>
    <row r="157" spans="1:16" ht="15.75" customHeight="1" x14ac:dyDescent="0.25">
      <c r="A157" s="18"/>
      <c r="B157" s="17"/>
      <c r="C157" s="17"/>
      <c r="D157" s="18"/>
      <c r="E157" s="18"/>
      <c r="F157" s="17"/>
      <c r="G157" s="18"/>
      <c r="H157" s="18"/>
      <c r="I157" s="18"/>
      <c r="J157" s="15"/>
      <c r="K157" s="37"/>
      <c r="L157" s="47"/>
      <c r="M157" s="47"/>
      <c r="N157" s="263"/>
      <c r="O157" s="17"/>
      <c r="P157" s="18"/>
    </row>
    <row r="158" spans="1:16" ht="15.75" customHeight="1" x14ac:dyDescent="0.25">
      <c r="A158" s="18"/>
      <c r="B158" s="17"/>
      <c r="C158" s="17"/>
      <c r="D158" s="18"/>
      <c r="E158" s="18"/>
      <c r="F158" s="17"/>
      <c r="G158" s="18"/>
      <c r="H158" s="18"/>
      <c r="I158" s="18"/>
      <c r="J158" s="15"/>
      <c r="K158" s="37"/>
      <c r="L158" s="47"/>
      <c r="M158" s="47"/>
      <c r="N158" s="263"/>
      <c r="O158" s="17"/>
      <c r="P158" s="18"/>
    </row>
    <row r="159" spans="1:16" ht="15.75" customHeight="1" x14ac:dyDescent="0.25">
      <c r="A159" s="18"/>
      <c r="B159" s="17"/>
      <c r="C159" s="17"/>
      <c r="D159" s="18"/>
      <c r="E159" s="18"/>
      <c r="F159" s="17"/>
      <c r="G159" s="18"/>
      <c r="H159" s="18"/>
      <c r="I159" s="18"/>
      <c r="J159" s="15"/>
      <c r="K159" s="37"/>
      <c r="L159" s="47"/>
      <c r="M159" s="47"/>
      <c r="N159" s="263"/>
      <c r="O159" s="17"/>
      <c r="P159" s="18"/>
    </row>
    <row r="160" spans="1:16" ht="15.75" customHeight="1" x14ac:dyDescent="0.25">
      <c r="A160" s="18"/>
      <c r="B160" s="17"/>
      <c r="C160" s="17"/>
      <c r="D160" s="18"/>
      <c r="E160" s="18"/>
      <c r="F160" s="17"/>
      <c r="G160" s="18"/>
      <c r="H160" s="18"/>
      <c r="I160" s="18"/>
      <c r="J160" s="15"/>
      <c r="K160" s="37"/>
      <c r="L160" s="47"/>
      <c r="M160" s="47"/>
      <c r="N160" s="263"/>
      <c r="O160" s="17"/>
      <c r="P160" s="18"/>
    </row>
    <row r="161" spans="1:16" ht="15.75" customHeight="1" x14ac:dyDescent="0.25">
      <c r="A161" s="18"/>
      <c r="B161" s="17"/>
      <c r="C161" s="17"/>
      <c r="D161" s="18"/>
      <c r="E161" s="18"/>
      <c r="F161" s="17"/>
      <c r="G161" s="18"/>
      <c r="H161" s="18"/>
      <c r="I161" s="18"/>
      <c r="J161" s="15"/>
      <c r="K161" s="37"/>
      <c r="L161" s="47"/>
      <c r="M161" s="47"/>
      <c r="N161" s="263"/>
      <c r="O161" s="17"/>
      <c r="P161" s="18"/>
    </row>
    <row r="162" spans="1:16" ht="15.75" customHeight="1" x14ac:dyDescent="0.25">
      <c r="A162" s="18"/>
      <c r="B162" s="17"/>
      <c r="C162" s="17"/>
      <c r="D162" s="18"/>
      <c r="E162" s="18"/>
      <c r="F162" s="17"/>
      <c r="G162" s="18"/>
      <c r="H162" s="18"/>
      <c r="I162" s="18"/>
      <c r="J162" s="15"/>
      <c r="K162" s="37"/>
      <c r="L162" s="47"/>
      <c r="M162" s="47"/>
      <c r="N162" s="263"/>
      <c r="O162" s="17"/>
      <c r="P162" s="18"/>
    </row>
    <row r="163" spans="1:16" ht="15.75" customHeight="1" x14ac:dyDescent="0.25">
      <c r="A163" s="18"/>
      <c r="B163" s="17"/>
      <c r="C163" s="17"/>
      <c r="D163" s="18"/>
      <c r="E163" s="18"/>
      <c r="F163" s="17"/>
      <c r="G163" s="18"/>
      <c r="H163" s="18"/>
      <c r="I163" s="18"/>
      <c r="J163" s="15"/>
      <c r="K163" s="37"/>
      <c r="L163" s="47"/>
      <c r="M163" s="47"/>
      <c r="N163" s="263"/>
      <c r="O163" s="17"/>
      <c r="P163" s="18"/>
    </row>
    <row r="164" spans="1:16" ht="15.75" customHeight="1" x14ac:dyDescent="0.25">
      <c r="A164" s="18"/>
      <c r="B164" s="17"/>
      <c r="C164" s="17"/>
      <c r="D164" s="18"/>
      <c r="E164" s="18"/>
      <c r="F164" s="17"/>
      <c r="G164" s="18"/>
      <c r="H164" s="18"/>
      <c r="I164" s="18"/>
      <c r="J164" s="15"/>
      <c r="K164" s="37"/>
      <c r="L164" s="47"/>
      <c r="M164" s="47"/>
      <c r="N164" s="263"/>
      <c r="O164" s="17"/>
      <c r="P164" s="18"/>
    </row>
    <row r="165" spans="1:16" ht="15.75" customHeight="1" x14ac:dyDescent="0.25">
      <c r="A165" s="18"/>
      <c r="B165" s="17"/>
      <c r="C165" s="17"/>
      <c r="D165" s="18"/>
      <c r="E165" s="18"/>
      <c r="F165" s="17"/>
      <c r="G165" s="18"/>
      <c r="H165" s="18"/>
      <c r="I165" s="18"/>
      <c r="J165" s="15"/>
      <c r="K165" s="37"/>
      <c r="L165" s="47"/>
      <c r="M165" s="47"/>
      <c r="N165" s="263"/>
      <c r="O165" s="17"/>
      <c r="P165" s="18"/>
    </row>
    <row r="166" spans="1:16" ht="15.75" customHeight="1" x14ac:dyDescent="0.25">
      <c r="A166" s="18"/>
      <c r="B166" s="17"/>
      <c r="C166" s="17"/>
      <c r="D166" s="18"/>
      <c r="E166" s="18"/>
      <c r="F166" s="17"/>
      <c r="G166" s="18"/>
      <c r="H166" s="18"/>
      <c r="I166" s="18"/>
      <c r="J166" s="15"/>
      <c r="K166" s="37"/>
      <c r="L166" s="47"/>
      <c r="M166" s="47"/>
      <c r="N166" s="263"/>
      <c r="O166" s="17"/>
      <c r="P166" s="18"/>
    </row>
    <row r="167" spans="1:16" ht="15.75" customHeight="1" x14ac:dyDescent="0.25">
      <c r="A167" s="18"/>
      <c r="B167" s="17"/>
      <c r="C167" s="17"/>
      <c r="D167" s="18"/>
      <c r="E167" s="18"/>
      <c r="F167" s="17"/>
      <c r="G167" s="18"/>
      <c r="H167" s="18"/>
      <c r="I167" s="18"/>
      <c r="J167" s="15"/>
      <c r="K167" s="37"/>
      <c r="L167" s="47"/>
      <c r="M167" s="47"/>
      <c r="N167" s="263"/>
      <c r="O167" s="17"/>
      <c r="P167" s="18"/>
    </row>
    <row r="168" spans="1:16" ht="15.75" customHeight="1" x14ac:dyDescent="0.25">
      <c r="A168" s="18"/>
      <c r="B168" s="17"/>
      <c r="C168" s="17"/>
      <c r="D168" s="18"/>
      <c r="E168" s="18"/>
      <c r="F168" s="17"/>
      <c r="G168" s="18"/>
      <c r="H168" s="18"/>
      <c r="I168" s="18"/>
      <c r="J168" s="15"/>
      <c r="K168" s="37"/>
      <c r="L168" s="47"/>
      <c r="M168" s="47"/>
      <c r="N168" s="263"/>
      <c r="O168" s="17"/>
      <c r="P168" s="18"/>
    </row>
    <row r="169" spans="1:16" ht="15.75" customHeight="1" x14ac:dyDescent="0.25">
      <c r="A169" s="18"/>
      <c r="B169" s="17"/>
      <c r="C169" s="17"/>
      <c r="D169" s="18"/>
      <c r="E169" s="18"/>
      <c r="F169" s="17"/>
      <c r="G169" s="18"/>
      <c r="H169" s="18"/>
      <c r="I169" s="18"/>
      <c r="J169" s="15"/>
      <c r="K169" s="37"/>
      <c r="L169" s="47"/>
      <c r="M169" s="47"/>
      <c r="N169" s="263"/>
      <c r="O169" s="17"/>
      <c r="P169" s="18"/>
    </row>
    <row r="170" spans="1:16" ht="15.75" customHeight="1" x14ac:dyDescent="0.25">
      <c r="A170" s="18"/>
      <c r="B170" s="17"/>
      <c r="C170" s="17"/>
      <c r="D170" s="18"/>
      <c r="E170" s="18"/>
      <c r="F170" s="17"/>
      <c r="G170" s="18"/>
      <c r="H170" s="18"/>
      <c r="I170" s="18"/>
      <c r="J170" s="15"/>
      <c r="K170" s="37"/>
      <c r="L170" s="47"/>
      <c r="M170" s="47"/>
      <c r="N170" s="263"/>
      <c r="O170" s="17"/>
      <c r="P170" s="18"/>
    </row>
    <row r="171" spans="1:16" ht="15.75" customHeight="1" x14ac:dyDescent="0.25">
      <c r="A171" s="18"/>
      <c r="B171" s="17"/>
      <c r="C171" s="17"/>
      <c r="D171" s="18"/>
      <c r="E171" s="18"/>
      <c r="F171" s="17"/>
      <c r="G171" s="18"/>
      <c r="H171" s="18"/>
      <c r="I171" s="18"/>
      <c r="J171" s="15"/>
      <c r="K171" s="37"/>
      <c r="L171" s="47"/>
      <c r="M171" s="47"/>
      <c r="N171" s="263"/>
      <c r="O171" s="17"/>
      <c r="P171" s="18"/>
    </row>
    <row r="172" spans="1:16" ht="15.75" customHeight="1" x14ac:dyDescent="0.25">
      <c r="A172" s="18"/>
      <c r="B172" s="17"/>
      <c r="C172" s="17"/>
      <c r="D172" s="18"/>
      <c r="E172" s="18"/>
      <c r="F172" s="17"/>
      <c r="G172" s="18"/>
      <c r="H172" s="18"/>
      <c r="I172" s="18"/>
      <c r="J172" s="15"/>
      <c r="K172" s="37"/>
      <c r="L172" s="47"/>
      <c r="M172" s="47"/>
      <c r="N172" s="263"/>
      <c r="O172" s="17"/>
      <c r="P172" s="18"/>
    </row>
    <row r="173" spans="1:16" ht="15.75" customHeight="1" x14ac:dyDescent="0.25">
      <c r="A173" s="18"/>
      <c r="B173" s="17"/>
      <c r="C173" s="17"/>
      <c r="D173" s="18"/>
      <c r="E173" s="18"/>
      <c r="F173" s="17"/>
      <c r="G173" s="18"/>
      <c r="H173" s="18"/>
      <c r="I173" s="18"/>
      <c r="J173" s="15"/>
      <c r="K173" s="37"/>
      <c r="L173" s="47"/>
      <c r="M173" s="47"/>
      <c r="N173" s="263"/>
      <c r="O173" s="17"/>
      <c r="P173" s="18"/>
    </row>
    <row r="174" spans="1:16" ht="15.75" customHeight="1" x14ac:dyDescent="0.25">
      <c r="A174" s="18"/>
      <c r="B174" s="17"/>
      <c r="C174" s="17"/>
      <c r="D174" s="18"/>
      <c r="E174" s="18"/>
      <c r="F174" s="17"/>
      <c r="G174" s="18"/>
      <c r="H174" s="18"/>
      <c r="I174" s="18"/>
      <c r="J174" s="15"/>
      <c r="K174" s="37"/>
      <c r="L174" s="47"/>
      <c r="M174" s="47"/>
      <c r="N174" s="263"/>
      <c r="O174" s="17"/>
      <c r="P174" s="18"/>
    </row>
    <row r="175" spans="1:16" ht="15.75" customHeight="1" x14ac:dyDescent="0.25">
      <c r="A175" s="18"/>
      <c r="B175" s="17"/>
      <c r="C175" s="17"/>
      <c r="D175" s="18"/>
      <c r="E175" s="18"/>
      <c r="F175" s="17"/>
      <c r="G175" s="18"/>
      <c r="H175" s="18"/>
      <c r="I175" s="18"/>
      <c r="J175" s="15"/>
      <c r="K175" s="37"/>
      <c r="L175" s="47"/>
      <c r="M175" s="47"/>
      <c r="N175" s="263"/>
      <c r="O175" s="17"/>
      <c r="P175" s="18"/>
    </row>
    <row r="176" spans="1:16" ht="15.75" customHeight="1" x14ac:dyDescent="0.25">
      <c r="A176" s="18"/>
      <c r="B176" s="17"/>
      <c r="C176" s="17"/>
      <c r="D176" s="18"/>
      <c r="E176" s="18"/>
      <c r="F176" s="17"/>
      <c r="G176" s="18"/>
      <c r="H176" s="18"/>
      <c r="I176" s="18"/>
      <c r="J176" s="15"/>
      <c r="K176" s="37"/>
      <c r="L176" s="47"/>
      <c r="M176" s="47"/>
      <c r="N176" s="263"/>
      <c r="O176" s="17"/>
      <c r="P176" s="18"/>
    </row>
    <row r="177" spans="1:16" ht="15.75" customHeight="1" x14ac:dyDescent="0.25">
      <c r="A177" s="18"/>
      <c r="B177" s="17"/>
      <c r="C177" s="17"/>
      <c r="D177" s="18"/>
      <c r="E177" s="18"/>
      <c r="F177" s="17"/>
      <c r="G177" s="18"/>
      <c r="H177" s="18"/>
      <c r="I177" s="18"/>
      <c r="J177" s="15"/>
      <c r="K177" s="37"/>
      <c r="L177" s="47"/>
      <c r="M177" s="47"/>
      <c r="N177" s="263"/>
      <c r="O177" s="17"/>
      <c r="P177" s="18"/>
    </row>
    <row r="178" spans="1:16" ht="15.75" customHeight="1" x14ac:dyDescent="0.25">
      <c r="A178" s="18"/>
      <c r="B178" s="17"/>
      <c r="C178" s="17"/>
      <c r="D178" s="18"/>
      <c r="E178" s="18"/>
      <c r="F178" s="17"/>
      <c r="G178" s="18"/>
      <c r="H178" s="18"/>
      <c r="I178" s="18"/>
      <c r="J178" s="15"/>
      <c r="K178" s="37"/>
      <c r="L178" s="47"/>
      <c r="M178" s="47"/>
      <c r="N178" s="263"/>
      <c r="O178" s="17"/>
      <c r="P178" s="18"/>
    </row>
    <row r="179" spans="1:16" ht="15.75" customHeight="1" x14ac:dyDescent="0.25">
      <c r="A179" s="18"/>
      <c r="B179" s="17"/>
      <c r="C179" s="17"/>
      <c r="D179" s="18"/>
      <c r="E179" s="18"/>
      <c r="F179" s="17"/>
      <c r="G179" s="18"/>
      <c r="H179" s="18"/>
      <c r="I179" s="18"/>
      <c r="J179" s="15"/>
      <c r="K179" s="37"/>
      <c r="L179" s="47"/>
      <c r="M179" s="47"/>
      <c r="N179" s="263"/>
      <c r="O179" s="17"/>
      <c r="P179" s="18"/>
    </row>
    <row r="180" spans="1:16" ht="15.75" customHeight="1" x14ac:dyDescent="0.25">
      <c r="A180" s="18"/>
      <c r="B180" s="17"/>
      <c r="C180" s="17"/>
      <c r="D180" s="18"/>
      <c r="E180" s="18"/>
      <c r="F180" s="17"/>
      <c r="G180" s="18"/>
      <c r="H180" s="18"/>
      <c r="I180" s="18"/>
      <c r="J180" s="15"/>
      <c r="K180" s="37"/>
      <c r="L180" s="47"/>
      <c r="M180" s="47"/>
      <c r="N180" s="263"/>
      <c r="O180" s="17"/>
      <c r="P180" s="18"/>
    </row>
    <row r="181" spans="1:16" ht="15.75" customHeight="1" x14ac:dyDescent="0.25">
      <c r="A181" s="18"/>
      <c r="B181" s="17"/>
      <c r="C181" s="17"/>
      <c r="D181" s="18"/>
      <c r="E181" s="18"/>
      <c r="F181" s="17"/>
      <c r="G181" s="18"/>
      <c r="H181" s="18"/>
      <c r="I181" s="18"/>
      <c r="J181" s="15"/>
      <c r="K181" s="37"/>
      <c r="L181" s="47"/>
      <c r="M181" s="47"/>
      <c r="N181" s="263"/>
      <c r="O181" s="17"/>
      <c r="P181" s="18"/>
    </row>
    <row r="182" spans="1:16" ht="15.75" customHeight="1" x14ac:dyDescent="0.25">
      <c r="A182" s="18"/>
      <c r="B182" s="17"/>
      <c r="C182" s="17"/>
      <c r="D182" s="18"/>
      <c r="E182" s="18"/>
      <c r="F182" s="17"/>
      <c r="G182" s="18"/>
      <c r="H182" s="18"/>
      <c r="I182" s="18"/>
      <c r="J182" s="15"/>
      <c r="K182" s="37"/>
      <c r="L182" s="47"/>
      <c r="M182" s="47"/>
      <c r="N182" s="263"/>
      <c r="O182" s="17"/>
      <c r="P182" s="18"/>
    </row>
    <row r="183" spans="1:16" ht="15.75" customHeight="1" x14ac:dyDescent="0.25">
      <c r="A183" s="18"/>
      <c r="B183" s="17"/>
      <c r="C183" s="17"/>
      <c r="D183" s="18"/>
      <c r="E183" s="18"/>
      <c r="F183" s="17"/>
      <c r="G183" s="18"/>
      <c r="H183" s="18"/>
      <c r="I183" s="18"/>
      <c r="J183" s="15"/>
      <c r="K183" s="37"/>
      <c r="L183" s="47"/>
      <c r="M183" s="47"/>
      <c r="N183" s="263"/>
      <c r="O183" s="17"/>
      <c r="P183" s="18"/>
    </row>
    <row r="184" spans="1:16" ht="15.75" customHeight="1" x14ac:dyDescent="0.25">
      <c r="A184" s="18"/>
      <c r="B184" s="17"/>
      <c r="C184" s="17"/>
      <c r="D184" s="18"/>
      <c r="E184" s="18"/>
      <c r="F184" s="17"/>
      <c r="G184" s="18"/>
      <c r="H184" s="18"/>
      <c r="I184" s="18"/>
      <c r="J184" s="15"/>
      <c r="K184" s="37"/>
      <c r="L184" s="47"/>
      <c r="M184" s="47"/>
      <c r="N184" s="263"/>
      <c r="O184" s="17"/>
      <c r="P184" s="18"/>
    </row>
    <row r="185" spans="1:16" ht="15.75" customHeight="1" x14ac:dyDescent="0.25">
      <c r="A185" s="18"/>
      <c r="B185" s="17"/>
      <c r="C185" s="17"/>
      <c r="D185" s="18"/>
      <c r="E185" s="18"/>
      <c r="F185" s="17"/>
      <c r="G185" s="18"/>
      <c r="H185" s="18"/>
      <c r="I185" s="18"/>
      <c r="J185" s="15"/>
      <c r="K185" s="37"/>
      <c r="L185" s="47"/>
      <c r="M185" s="47"/>
      <c r="N185" s="263"/>
      <c r="O185" s="17"/>
      <c r="P185" s="18"/>
    </row>
    <row r="186" spans="1:16" ht="15.75" customHeight="1" x14ac:dyDescent="0.25">
      <c r="A186" s="18"/>
      <c r="B186" s="17"/>
      <c r="C186" s="17"/>
      <c r="D186" s="18"/>
      <c r="E186" s="18"/>
      <c r="F186" s="17"/>
      <c r="G186" s="18"/>
      <c r="H186" s="18"/>
      <c r="I186" s="18"/>
      <c r="J186" s="15"/>
      <c r="K186" s="37"/>
      <c r="L186" s="47"/>
      <c r="M186" s="47"/>
      <c r="N186" s="263"/>
      <c r="O186" s="17"/>
      <c r="P186" s="18"/>
    </row>
    <row r="187" spans="1:16" ht="15.75" customHeight="1" x14ac:dyDescent="0.25">
      <c r="A187" s="18"/>
      <c r="B187" s="17"/>
      <c r="C187" s="17"/>
      <c r="D187" s="18"/>
      <c r="E187" s="18"/>
      <c r="F187" s="17"/>
      <c r="G187" s="18"/>
      <c r="H187" s="18"/>
      <c r="I187" s="18"/>
      <c r="J187" s="15"/>
      <c r="K187" s="37"/>
      <c r="L187" s="47"/>
      <c r="M187" s="47"/>
      <c r="N187" s="263"/>
      <c r="O187" s="17"/>
      <c r="P187" s="18"/>
    </row>
    <row r="188" spans="1:16" ht="15.75" customHeight="1" x14ac:dyDescent="0.25">
      <c r="A188" s="18"/>
      <c r="B188" s="17"/>
      <c r="C188" s="17"/>
      <c r="D188" s="18"/>
      <c r="E188" s="18"/>
      <c r="F188" s="17"/>
      <c r="G188" s="18"/>
      <c r="H188" s="18"/>
      <c r="I188" s="18"/>
      <c r="J188" s="15"/>
      <c r="K188" s="37"/>
      <c r="L188" s="47"/>
      <c r="M188" s="47"/>
      <c r="N188" s="263"/>
      <c r="O188" s="17"/>
      <c r="P188" s="18"/>
    </row>
    <row r="189" spans="1:16" ht="15.75" customHeight="1" x14ac:dyDescent="0.25">
      <c r="A189" s="18"/>
      <c r="B189" s="17"/>
      <c r="C189" s="17"/>
      <c r="D189" s="18"/>
      <c r="E189" s="18"/>
      <c r="F189" s="17"/>
      <c r="G189" s="18"/>
      <c r="H189" s="18"/>
      <c r="I189" s="18"/>
      <c r="J189" s="15"/>
      <c r="K189" s="37"/>
      <c r="L189" s="47"/>
      <c r="M189" s="47"/>
      <c r="N189" s="263"/>
      <c r="O189" s="17"/>
      <c r="P189" s="18"/>
    </row>
    <row r="190" spans="1:16" ht="15.75" customHeight="1" x14ac:dyDescent="0.25">
      <c r="A190" s="18"/>
      <c r="B190" s="17"/>
      <c r="C190" s="17"/>
      <c r="D190" s="18"/>
      <c r="E190" s="18"/>
      <c r="F190" s="17"/>
      <c r="G190" s="18"/>
      <c r="H190" s="18"/>
      <c r="I190" s="18"/>
      <c r="J190" s="15"/>
      <c r="K190" s="37"/>
      <c r="L190" s="47"/>
      <c r="M190" s="47"/>
      <c r="N190" s="263"/>
      <c r="O190" s="17"/>
      <c r="P190" s="18"/>
    </row>
    <row r="191" spans="1:16" ht="15.75" customHeight="1" x14ac:dyDescent="0.25">
      <c r="A191" s="18"/>
      <c r="B191" s="17"/>
      <c r="C191" s="17"/>
      <c r="D191" s="18"/>
      <c r="E191" s="18"/>
      <c r="F191" s="17"/>
      <c r="G191" s="18"/>
      <c r="H191" s="18"/>
      <c r="I191" s="18"/>
      <c r="J191" s="15"/>
      <c r="K191" s="37"/>
      <c r="L191" s="47"/>
      <c r="M191" s="47"/>
      <c r="N191" s="263"/>
      <c r="O191" s="17"/>
      <c r="P191" s="18"/>
    </row>
    <row r="192" spans="1:16" ht="15.75" customHeight="1" x14ac:dyDescent="0.25">
      <c r="A192" s="18"/>
      <c r="B192" s="17"/>
      <c r="C192" s="17"/>
      <c r="D192" s="18"/>
      <c r="E192" s="18"/>
      <c r="F192" s="17"/>
      <c r="G192" s="18"/>
      <c r="H192" s="18"/>
      <c r="I192" s="18"/>
      <c r="J192" s="15"/>
      <c r="K192" s="37"/>
      <c r="L192" s="47"/>
      <c r="M192" s="47"/>
      <c r="N192" s="263"/>
      <c r="O192" s="17"/>
      <c r="P192" s="18"/>
    </row>
    <row r="193" spans="1:16" ht="15.75" customHeight="1" x14ac:dyDescent="0.25">
      <c r="A193" s="18"/>
      <c r="B193" s="17"/>
      <c r="C193" s="17"/>
      <c r="D193" s="18"/>
      <c r="E193" s="18"/>
      <c r="F193" s="17"/>
      <c r="G193" s="18"/>
      <c r="H193" s="18"/>
      <c r="I193" s="18"/>
      <c r="J193" s="15"/>
      <c r="K193" s="37"/>
      <c r="L193" s="47"/>
      <c r="M193" s="47"/>
      <c r="N193" s="263"/>
      <c r="O193" s="17"/>
      <c r="P193" s="18"/>
    </row>
    <row r="194" spans="1:16" ht="15.75" customHeight="1" x14ac:dyDescent="0.25">
      <c r="A194" s="18"/>
      <c r="B194" s="17"/>
      <c r="C194" s="17"/>
      <c r="D194" s="18"/>
      <c r="E194" s="18"/>
      <c r="F194" s="17"/>
      <c r="G194" s="18"/>
      <c r="H194" s="18"/>
      <c r="I194" s="18"/>
      <c r="J194" s="15"/>
      <c r="K194" s="37"/>
      <c r="L194" s="47"/>
      <c r="M194" s="47"/>
      <c r="N194" s="263"/>
      <c r="O194" s="17"/>
      <c r="P194" s="18"/>
    </row>
    <row r="195" spans="1:16" ht="15.75" customHeight="1" x14ac:dyDescent="0.25">
      <c r="A195" s="18"/>
      <c r="B195" s="17"/>
      <c r="C195" s="17"/>
      <c r="D195" s="18"/>
      <c r="E195" s="18"/>
      <c r="F195" s="17"/>
      <c r="G195" s="18"/>
      <c r="H195" s="18"/>
      <c r="I195" s="18"/>
      <c r="J195" s="15"/>
      <c r="K195" s="37"/>
      <c r="L195" s="47"/>
      <c r="M195" s="47"/>
      <c r="N195" s="263"/>
      <c r="O195" s="17"/>
      <c r="P195" s="18"/>
    </row>
    <row r="196" spans="1:16" ht="15.75" customHeight="1" x14ac:dyDescent="0.25">
      <c r="A196" s="18"/>
      <c r="B196" s="17"/>
      <c r="C196" s="17"/>
      <c r="D196" s="18"/>
      <c r="E196" s="18"/>
      <c r="F196" s="17"/>
      <c r="G196" s="18"/>
      <c r="H196" s="18"/>
      <c r="I196" s="18"/>
      <c r="J196" s="15"/>
      <c r="K196" s="37"/>
      <c r="L196" s="47"/>
      <c r="M196" s="47"/>
      <c r="N196" s="263"/>
      <c r="O196" s="17"/>
      <c r="P196" s="18"/>
    </row>
    <row r="197" spans="1:16" ht="15.75" customHeight="1" x14ac:dyDescent="0.25">
      <c r="A197" s="18"/>
      <c r="B197" s="17"/>
      <c r="C197" s="17"/>
      <c r="D197" s="18"/>
      <c r="E197" s="18"/>
      <c r="F197" s="17"/>
      <c r="G197" s="18"/>
      <c r="H197" s="18"/>
      <c r="I197" s="18"/>
      <c r="J197" s="15"/>
      <c r="K197" s="37"/>
      <c r="L197" s="47"/>
      <c r="M197" s="47"/>
      <c r="N197" s="263"/>
      <c r="O197" s="17"/>
      <c r="P197" s="18"/>
    </row>
    <row r="198" spans="1:16" ht="15.75" customHeight="1" x14ac:dyDescent="0.25">
      <c r="A198" s="18"/>
      <c r="B198" s="17"/>
      <c r="C198" s="17"/>
      <c r="D198" s="18"/>
      <c r="E198" s="18"/>
      <c r="F198" s="17"/>
      <c r="G198" s="18"/>
      <c r="H198" s="18"/>
      <c r="I198" s="18"/>
      <c r="J198" s="15"/>
      <c r="K198" s="37"/>
      <c r="L198" s="47"/>
      <c r="M198" s="47"/>
      <c r="N198" s="263"/>
      <c r="O198" s="17"/>
      <c r="P198" s="18"/>
    </row>
    <row r="199" spans="1:16" ht="15.75" customHeight="1" x14ac:dyDescent="0.25">
      <c r="A199" s="18"/>
      <c r="B199" s="17"/>
      <c r="C199" s="17"/>
      <c r="D199" s="18"/>
      <c r="E199" s="18"/>
      <c r="F199" s="17"/>
      <c r="G199" s="18"/>
      <c r="H199" s="18"/>
      <c r="I199" s="18"/>
      <c r="J199" s="15"/>
      <c r="K199" s="37"/>
      <c r="L199" s="47"/>
      <c r="M199" s="47"/>
      <c r="N199" s="263"/>
      <c r="O199" s="17"/>
      <c r="P199" s="18"/>
    </row>
    <row r="200" spans="1:16" ht="15.75" customHeight="1" x14ac:dyDescent="0.25">
      <c r="A200" s="18"/>
      <c r="B200" s="17"/>
      <c r="C200" s="17"/>
      <c r="D200" s="18"/>
      <c r="E200" s="18"/>
      <c r="F200" s="17"/>
      <c r="G200" s="18"/>
      <c r="H200" s="18"/>
      <c r="I200" s="18"/>
      <c r="J200" s="15"/>
      <c r="K200" s="37"/>
      <c r="L200" s="47"/>
      <c r="M200" s="47"/>
      <c r="N200" s="263"/>
      <c r="O200" s="17"/>
      <c r="P200" s="18"/>
    </row>
    <row r="201" spans="1:16" ht="15.75" customHeight="1" x14ac:dyDescent="0.25">
      <c r="A201" s="18"/>
      <c r="B201" s="17"/>
      <c r="C201" s="17"/>
      <c r="D201" s="18"/>
      <c r="E201" s="18"/>
      <c r="F201" s="17"/>
      <c r="G201" s="18"/>
      <c r="H201" s="18"/>
      <c r="I201" s="18"/>
      <c r="J201" s="15"/>
      <c r="K201" s="37"/>
      <c r="L201" s="47"/>
      <c r="M201" s="47"/>
      <c r="N201" s="263"/>
      <c r="O201" s="17"/>
      <c r="P201" s="18"/>
    </row>
    <row r="202" spans="1:16" ht="15.75" customHeight="1" x14ac:dyDescent="0.25">
      <c r="A202" s="18"/>
      <c r="B202" s="17"/>
      <c r="C202" s="17"/>
      <c r="D202" s="18"/>
      <c r="E202" s="18"/>
      <c r="F202" s="17"/>
      <c r="G202" s="18"/>
      <c r="H202" s="18"/>
      <c r="I202" s="18"/>
      <c r="J202" s="15"/>
      <c r="K202" s="37"/>
      <c r="L202" s="47"/>
      <c r="M202" s="47"/>
      <c r="N202" s="263"/>
      <c r="O202" s="17"/>
      <c r="P202" s="18"/>
    </row>
    <row r="203" spans="1:16" ht="15.75" customHeight="1" x14ac:dyDescent="0.25">
      <c r="A203" s="18"/>
      <c r="B203" s="17"/>
      <c r="C203" s="17"/>
      <c r="D203" s="18"/>
      <c r="E203" s="18"/>
      <c r="F203" s="17"/>
      <c r="G203" s="18"/>
      <c r="H203" s="18"/>
      <c r="I203" s="18"/>
      <c r="J203" s="15"/>
      <c r="K203" s="37"/>
      <c r="L203" s="47"/>
      <c r="M203" s="47"/>
      <c r="N203" s="263"/>
      <c r="O203" s="17"/>
      <c r="P203" s="18"/>
    </row>
    <row r="204" spans="1:16" ht="15.75" customHeight="1" x14ac:dyDescent="0.25">
      <c r="A204" s="18"/>
      <c r="B204" s="17"/>
      <c r="C204" s="17"/>
      <c r="D204" s="18"/>
      <c r="E204" s="18"/>
      <c r="F204" s="17"/>
      <c r="G204" s="18"/>
      <c r="H204" s="18"/>
      <c r="I204" s="18"/>
      <c r="J204" s="15"/>
      <c r="K204" s="37"/>
      <c r="L204" s="47"/>
      <c r="M204" s="47"/>
      <c r="N204" s="263"/>
      <c r="O204" s="17"/>
      <c r="P204" s="18"/>
    </row>
    <row r="205" spans="1:16" ht="15.75" customHeight="1" x14ac:dyDescent="0.25">
      <c r="A205" s="18"/>
      <c r="B205" s="17"/>
      <c r="C205" s="17"/>
      <c r="D205" s="18"/>
      <c r="E205" s="18"/>
      <c r="F205" s="17"/>
      <c r="G205" s="18"/>
      <c r="H205" s="18"/>
      <c r="I205" s="18"/>
      <c r="J205" s="15"/>
      <c r="K205" s="37"/>
      <c r="L205" s="47"/>
      <c r="M205" s="47"/>
      <c r="N205" s="263"/>
      <c r="O205" s="17"/>
      <c r="P205" s="18"/>
    </row>
    <row r="206" spans="1:16" ht="15.75" customHeight="1" x14ac:dyDescent="0.25">
      <c r="A206" s="18"/>
      <c r="B206" s="17"/>
      <c r="C206" s="17"/>
      <c r="D206" s="18"/>
      <c r="E206" s="18"/>
      <c r="F206" s="17"/>
      <c r="G206" s="18"/>
      <c r="H206" s="18"/>
      <c r="I206" s="18"/>
      <c r="J206" s="15"/>
      <c r="K206" s="37"/>
      <c r="L206" s="47"/>
      <c r="M206" s="47"/>
      <c r="N206" s="263"/>
      <c r="O206" s="17"/>
      <c r="P206" s="18"/>
    </row>
    <row r="207" spans="1:16" ht="15.75" customHeight="1" x14ac:dyDescent="0.25">
      <c r="A207" s="18"/>
      <c r="B207" s="17"/>
      <c r="C207" s="17"/>
      <c r="D207" s="18"/>
      <c r="E207" s="18"/>
      <c r="F207" s="17"/>
      <c r="G207" s="18"/>
      <c r="H207" s="18"/>
      <c r="I207" s="18"/>
      <c r="J207" s="15"/>
      <c r="K207" s="37"/>
      <c r="L207" s="47"/>
      <c r="M207" s="47"/>
      <c r="N207" s="263"/>
      <c r="O207" s="17"/>
      <c r="P207" s="18"/>
    </row>
    <row r="208" spans="1:16" ht="15.75" customHeight="1" x14ac:dyDescent="0.25">
      <c r="A208" s="18"/>
      <c r="B208" s="17"/>
      <c r="C208" s="17"/>
      <c r="D208" s="18"/>
      <c r="E208" s="18"/>
      <c r="F208" s="17"/>
      <c r="G208" s="18"/>
      <c r="H208" s="18"/>
      <c r="I208" s="18"/>
      <c r="J208" s="15"/>
      <c r="K208" s="37"/>
      <c r="L208" s="47"/>
      <c r="M208" s="47"/>
      <c r="N208" s="263"/>
      <c r="O208" s="17"/>
      <c r="P208" s="18"/>
    </row>
    <row r="209" spans="1:16" ht="15.75" customHeight="1" x14ac:dyDescent="0.25">
      <c r="A209" s="18"/>
      <c r="B209" s="17"/>
      <c r="C209" s="17"/>
      <c r="D209" s="18"/>
      <c r="E209" s="18"/>
      <c r="F209" s="17"/>
      <c r="G209" s="18"/>
      <c r="H209" s="18"/>
      <c r="I209" s="18"/>
      <c r="J209" s="15"/>
      <c r="K209" s="37"/>
      <c r="L209" s="47"/>
      <c r="M209" s="47"/>
      <c r="N209" s="263"/>
      <c r="O209" s="17"/>
      <c r="P209" s="18"/>
    </row>
    <row r="210" spans="1:16" ht="15.75" customHeight="1" x14ac:dyDescent="0.25">
      <c r="A210" s="18"/>
      <c r="B210" s="17"/>
      <c r="C210" s="17"/>
      <c r="D210" s="18"/>
      <c r="E210" s="18"/>
      <c r="F210" s="17"/>
      <c r="G210" s="18"/>
      <c r="H210" s="18"/>
      <c r="I210" s="18"/>
      <c r="J210" s="15"/>
      <c r="K210" s="37"/>
      <c r="L210" s="47"/>
      <c r="M210" s="47"/>
      <c r="N210" s="263"/>
      <c r="O210" s="17"/>
      <c r="P210" s="18"/>
    </row>
    <row r="211" spans="1:16" ht="15.75" customHeight="1" x14ac:dyDescent="0.25">
      <c r="A211" s="18"/>
      <c r="B211" s="17"/>
      <c r="C211" s="17"/>
      <c r="D211" s="18"/>
      <c r="E211" s="18"/>
      <c r="F211" s="17"/>
      <c r="G211" s="18"/>
      <c r="H211" s="18"/>
      <c r="I211" s="18"/>
      <c r="J211" s="15"/>
      <c r="K211" s="37"/>
      <c r="L211" s="47"/>
      <c r="M211" s="47"/>
      <c r="N211" s="263"/>
      <c r="O211" s="17"/>
      <c r="P211" s="18"/>
    </row>
    <row r="212" spans="1:16" ht="15.75" customHeight="1" x14ac:dyDescent="0.25">
      <c r="A212" s="18"/>
      <c r="B212" s="17"/>
      <c r="C212" s="17"/>
      <c r="D212" s="18"/>
      <c r="E212" s="18"/>
      <c r="F212" s="17"/>
      <c r="G212" s="18"/>
      <c r="H212" s="18"/>
      <c r="I212" s="18"/>
      <c r="J212" s="15"/>
      <c r="K212" s="37"/>
      <c r="L212" s="47"/>
      <c r="M212" s="47"/>
      <c r="N212" s="263"/>
      <c r="O212" s="17"/>
      <c r="P212" s="18"/>
    </row>
    <row r="213" spans="1:16" ht="15.75" customHeight="1" x14ac:dyDescent="0.25">
      <c r="A213" s="18"/>
      <c r="B213" s="17"/>
      <c r="C213" s="17"/>
      <c r="D213" s="18"/>
      <c r="E213" s="18"/>
      <c r="F213" s="17"/>
      <c r="G213" s="18"/>
      <c r="H213" s="18"/>
      <c r="I213" s="18"/>
      <c r="J213" s="15"/>
      <c r="K213" s="37"/>
      <c r="L213" s="47"/>
      <c r="M213" s="47"/>
      <c r="N213" s="263"/>
      <c r="O213" s="17"/>
      <c r="P213" s="18"/>
    </row>
    <row r="214" spans="1:16" ht="15.75" customHeight="1" x14ac:dyDescent="0.25">
      <c r="A214" s="18"/>
      <c r="B214" s="17"/>
      <c r="C214" s="17"/>
      <c r="D214" s="18"/>
      <c r="E214" s="18"/>
      <c r="F214" s="17"/>
      <c r="G214" s="18"/>
      <c r="H214" s="18"/>
      <c r="I214" s="18"/>
      <c r="J214" s="15"/>
      <c r="K214" s="37"/>
      <c r="L214" s="47"/>
      <c r="M214" s="47"/>
      <c r="N214" s="263"/>
      <c r="O214" s="17"/>
      <c r="P214" s="18"/>
    </row>
    <row r="215" spans="1:16" ht="15.75" customHeight="1" x14ac:dyDescent="0.25">
      <c r="A215" s="18"/>
      <c r="B215" s="17"/>
      <c r="C215" s="17"/>
      <c r="D215" s="18"/>
      <c r="E215" s="18"/>
      <c r="F215" s="17"/>
      <c r="G215" s="18"/>
      <c r="H215" s="18"/>
      <c r="I215" s="18"/>
      <c r="J215" s="15"/>
      <c r="K215" s="37"/>
      <c r="L215" s="47"/>
      <c r="M215" s="47"/>
      <c r="N215" s="263"/>
      <c r="O215" s="17"/>
      <c r="P215" s="18"/>
    </row>
    <row r="216" spans="1:16" ht="15.75" customHeight="1" x14ac:dyDescent="0.25">
      <c r="A216" s="18"/>
      <c r="B216" s="17"/>
      <c r="C216" s="17"/>
      <c r="D216" s="18"/>
      <c r="E216" s="18"/>
      <c r="F216" s="17"/>
      <c r="G216" s="18"/>
      <c r="H216" s="18"/>
      <c r="I216" s="18"/>
      <c r="J216" s="15"/>
      <c r="K216" s="37"/>
      <c r="L216" s="47"/>
      <c r="M216" s="47"/>
      <c r="N216" s="263"/>
      <c r="O216" s="17"/>
      <c r="P216" s="18"/>
    </row>
    <row r="217" spans="1:16" ht="15.75" customHeight="1" x14ac:dyDescent="0.25">
      <c r="A217" s="18"/>
      <c r="B217" s="17"/>
      <c r="C217" s="17"/>
      <c r="D217" s="18"/>
      <c r="E217" s="18"/>
      <c r="F217" s="17"/>
      <c r="G217" s="18"/>
      <c r="H217" s="18"/>
      <c r="I217" s="18"/>
      <c r="J217" s="15"/>
      <c r="K217" s="37"/>
      <c r="L217" s="47"/>
      <c r="M217" s="47"/>
      <c r="N217" s="263"/>
      <c r="O217" s="17"/>
      <c r="P217" s="18"/>
    </row>
    <row r="218" spans="1:16" ht="15.75" customHeight="1" x14ac:dyDescent="0.25">
      <c r="A218" s="18"/>
      <c r="B218" s="17"/>
      <c r="C218" s="17"/>
      <c r="D218" s="18"/>
      <c r="E218" s="18"/>
      <c r="F218" s="17"/>
      <c r="G218" s="18"/>
      <c r="H218" s="18"/>
      <c r="I218" s="18"/>
      <c r="J218" s="15"/>
      <c r="K218" s="37"/>
      <c r="L218" s="47"/>
      <c r="M218" s="47"/>
      <c r="N218" s="263"/>
      <c r="O218" s="17"/>
      <c r="P218" s="18"/>
    </row>
    <row r="219" spans="1:16" ht="15.75" customHeight="1" x14ac:dyDescent="0.25">
      <c r="A219" s="18"/>
      <c r="B219" s="17"/>
      <c r="C219" s="17"/>
      <c r="D219" s="18"/>
      <c r="E219" s="18"/>
      <c r="F219" s="17"/>
      <c r="G219" s="18"/>
      <c r="H219" s="18"/>
      <c r="I219" s="18"/>
      <c r="J219" s="15"/>
      <c r="K219" s="37"/>
      <c r="L219" s="47"/>
      <c r="M219" s="47"/>
      <c r="N219" s="263"/>
      <c r="O219" s="17"/>
      <c r="P219" s="18"/>
    </row>
    <row r="220" spans="1:16" ht="15.75" customHeight="1" x14ac:dyDescent="0.25">
      <c r="A220" s="18"/>
      <c r="B220" s="17"/>
      <c r="C220" s="17"/>
      <c r="D220" s="18"/>
      <c r="E220" s="18"/>
      <c r="F220" s="17"/>
      <c r="G220" s="18"/>
      <c r="H220" s="18"/>
      <c r="I220" s="18"/>
      <c r="J220" s="15"/>
      <c r="K220" s="37"/>
      <c r="L220" s="47"/>
      <c r="M220" s="47"/>
      <c r="N220" s="263"/>
      <c r="O220" s="17"/>
      <c r="P220" s="18"/>
    </row>
    <row r="221" spans="1:16" ht="15.75" customHeight="1" x14ac:dyDescent="0.25">
      <c r="A221" s="18"/>
      <c r="B221" s="17"/>
      <c r="C221" s="17"/>
      <c r="D221" s="18"/>
      <c r="E221" s="18"/>
      <c r="F221" s="17"/>
      <c r="G221" s="18"/>
      <c r="H221" s="18"/>
      <c r="I221" s="18"/>
      <c r="J221" s="15"/>
      <c r="K221" s="37"/>
      <c r="L221" s="47"/>
      <c r="M221" s="47"/>
      <c r="N221" s="263"/>
      <c r="O221" s="17"/>
      <c r="P221" s="18"/>
    </row>
    <row r="222" spans="1:16" ht="15.75" customHeight="1" x14ac:dyDescent="0.25">
      <c r="A222" s="18"/>
      <c r="B222" s="17"/>
      <c r="C222" s="17"/>
      <c r="D222" s="18"/>
      <c r="E222" s="18"/>
      <c r="F222" s="17"/>
      <c r="G222" s="18"/>
      <c r="H222" s="18"/>
      <c r="I222" s="18"/>
      <c r="J222" s="15"/>
      <c r="K222" s="37"/>
      <c r="L222" s="47"/>
      <c r="M222" s="47"/>
      <c r="N222" s="263"/>
      <c r="O222" s="17"/>
      <c r="P222" s="18"/>
    </row>
    <row r="223" spans="1:16" ht="15.75" customHeight="1" x14ac:dyDescent="0.25">
      <c r="A223" s="18"/>
      <c r="B223" s="17"/>
      <c r="C223" s="17"/>
      <c r="D223" s="18"/>
      <c r="E223" s="18"/>
      <c r="F223" s="17"/>
      <c r="G223" s="18"/>
      <c r="H223" s="18"/>
      <c r="I223" s="18"/>
      <c r="J223" s="15"/>
      <c r="K223" s="37"/>
      <c r="L223" s="47"/>
      <c r="M223" s="47"/>
      <c r="N223" s="263"/>
      <c r="O223" s="17"/>
      <c r="P223" s="18"/>
    </row>
    <row r="224" spans="1:16" ht="15.75" customHeight="1" x14ac:dyDescent="0.25">
      <c r="A224" s="18"/>
      <c r="B224" s="17"/>
      <c r="C224" s="17"/>
      <c r="D224" s="18"/>
      <c r="E224" s="18"/>
      <c r="F224" s="17"/>
      <c r="G224" s="18"/>
      <c r="H224" s="18"/>
      <c r="I224" s="18"/>
      <c r="J224" s="15"/>
      <c r="K224" s="37"/>
      <c r="L224" s="47"/>
      <c r="M224" s="47"/>
      <c r="N224" s="263"/>
      <c r="O224" s="17"/>
      <c r="P224" s="18"/>
    </row>
    <row r="225" spans="1:16" ht="15.75" customHeight="1" x14ac:dyDescent="0.25">
      <c r="A225" s="18"/>
      <c r="B225" s="17"/>
      <c r="C225" s="17"/>
      <c r="D225" s="18"/>
      <c r="E225" s="18"/>
      <c r="F225" s="17"/>
      <c r="G225" s="18"/>
      <c r="H225" s="18"/>
      <c r="I225" s="18"/>
      <c r="J225" s="15"/>
      <c r="K225" s="37"/>
      <c r="L225" s="47"/>
      <c r="M225" s="47"/>
      <c r="N225" s="263"/>
      <c r="O225" s="17"/>
      <c r="P225" s="18"/>
    </row>
    <row r="226" spans="1:16" ht="15.75" customHeight="1" x14ac:dyDescent="0.25">
      <c r="A226" s="18"/>
      <c r="B226" s="17"/>
      <c r="C226" s="17"/>
      <c r="D226" s="18"/>
      <c r="E226" s="18"/>
      <c r="F226" s="17"/>
      <c r="G226" s="18"/>
      <c r="H226" s="18"/>
      <c r="I226" s="18"/>
      <c r="J226" s="15"/>
      <c r="K226" s="37"/>
      <c r="L226" s="47"/>
      <c r="M226" s="47"/>
      <c r="N226" s="263"/>
      <c r="O226" s="17"/>
      <c r="P226" s="18"/>
    </row>
    <row r="227" spans="1:16" ht="15.75" customHeight="1" x14ac:dyDescent="0.25">
      <c r="A227" s="18"/>
      <c r="B227" s="17"/>
      <c r="C227" s="17"/>
      <c r="D227" s="18"/>
      <c r="E227" s="18"/>
      <c r="F227" s="17"/>
      <c r="G227" s="18"/>
      <c r="H227" s="18"/>
      <c r="I227" s="18"/>
      <c r="J227" s="15"/>
      <c r="K227" s="37"/>
      <c r="L227" s="47"/>
      <c r="M227" s="47"/>
      <c r="N227" s="263"/>
      <c r="O227" s="17"/>
      <c r="P227" s="18"/>
    </row>
    <row r="228" spans="1:16" ht="15.75" customHeight="1" x14ac:dyDescent="0.25">
      <c r="A228" s="18"/>
      <c r="B228" s="17"/>
      <c r="C228" s="17"/>
      <c r="D228" s="18"/>
      <c r="E228" s="18"/>
      <c r="F228" s="17"/>
      <c r="G228" s="18"/>
      <c r="H228" s="18"/>
      <c r="I228" s="18"/>
      <c r="J228" s="15"/>
      <c r="K228" s="37"/>
      <c r="L228" s="47"/>
      <c r="M228" s="47"/>
      <c r="N228" s="263"/>
      <c r="O228" s="17"/>
      <c r="P228" s="18"/>
    </row>
    <row r="229" spans="1:16" ht="15.75" customHeight="1" x14ac:dyDescent="0.25">
      <c r="A229" s="18"/>
      <c r="B229" s="17"/>
      <c r="C229" s="17"/>
      <c r="D229" s="18"/>
      <c r="E229" s="18"/>
      <c r="F229" s="17"/>
      <c r="G229" s="18"/>
      <c r="H229" s="18"/>
      <c r="I229" s="18"/>
      <c r="J229" s="15"/>
      <c r="K229" s="37"/>
      <c r="L229" s="47"/>
      <c r="M229" s="47"/>
      <c r="N229" s="263"/>
      <c r="O229" s="17"/>
      <c r="P229" s="18"/>
    </row>
    <row r="230" spans="1:16" ht="15.75" customHeight="1" x14ac:dyDescent="0.25">
      <c r="A230" s="18"/>
      <c r="B230" s="17"/>
      <c r="C230" s="17"/>
      <c r="D230" s="18"/>
      <c r="E230" s="18"/>
      <c r="F230" s="17"/>
      <c r="G230" s="18"/>
      <c r="H230" s="18"/>
      <c r="I230" s="18"/>
      <c r="J230" s="15"/>
      <c r="K230" s="37"/>
      <c r="L230" s="47"/>
      <c r="M230" s="47"/>
      <c r="N230" s="263"/>
      <c r="O230" s="17"/>
      <c r="P230" s="18"/>
    </row>
    <row r="231" spans="1:16" ht="15.75" customHeight="1" x14ac:dyDescent="0.25">
      <c r="A231" s="18"/>
      <c r="B231" s="17"/>
      <c r="C231" s="17"/>
      <c r="D231" s="18"/>
      <c r="E231" s="18"/>
      <c r="F231" s="17"/>
      <c r="G231" s="18"/>
      <c r="H231" s="18"/>
      <c r="I231" s="18"/>
      <c r="J231" s="15"/>
      <c r="K231" s="37"/>
      <c r="L231" s="47"/>
      <c r="M231" s="47"/>
      <c r="N231" s="263"/>
      <c r="O231" s="17"/>
      <c r="P231" s="18"/>
    </row>
    <row r="232" spans="1:16" ht="15.75" customHeight="1" x14ac:dyDescent="0.25">
      <c r="A232" s="18"/>
      <c r="B232" s="17"/>
      <c r="C232" s="17"/>
      <c r="D232" s="18"/>
      <c r="E232" s="18"/>
      <c r="F232" s="17"/>
      <c r="G232" s="18"/>
      <c r="H232" s="18"/>
      <c r="I232" s="18"/>
      <c r="J232" s="15"/>
      <c r="K232" s="37"/>
      <c r="L232" s="47"/>
      <c r="M232" s="47"/>
      <c r="N232" s="263"/>
      <c r="O232" s="17"/>
      <c r="P232" s="18"/>
    </row>
    <row r="233" spans="1:16" ht="15.75" customHeight="1" x14ac:dyDescent="0.25">
      <c r="A233" s="18"/>
      <c r="B233" s="17"/>
      <c r="C233" s="17"/>
      <c r="D233" s="18"/>
      <c r="E233" s="18"/>
      <c r="F233" s="17"/>
      <c r="G233" s="18"/>
      <c r="H233" s="18"/>
      <c r="I233" s="18"/>
      <c r="J233" s="15"/>
      <c r="K233" s="37"/>
      <c r="L233" s="47"/>
      <c r="M233" s="47"/>
      <c r="N233" s="263"/>
      <c r="O233" s="17"/>
      <c r="P233" s="18"/>
    </row>
    <row r="234" spans="1:16" ht="15.75" customHeight="1" x14ac:dyDescent="0.25">
      <c r="A234" s="18"/>
      <c r="B234" s="17"/>
      <c r="C234" s="17"/>
      <c r="D234" s="18"/>
      <c r="E234" s="18"/>
      <c r="F234" s="17"/>
      <c r="G234" s="18"/>
      <c r="H234" s="18"/>
      <c r="I234" s="18"/>
      <c r="J234" s="15"/>
      <c r="K234" s="37"/>
      <c r="L234" s="47"/>
      <c r="M234" s="47"/>
      <c r="N234" s="263"/>
      <c r="O234" s="17"/>
      <c r="P234" s="18"/>
    </row>
    <row r="235" spans="1:16" ht="15.75" customHeight="1" x14ac:dyDescent="0.25">
      <c r="A235" s="18"/>
      <c r="B235" s="17"/>
      <c r="C235" s="17"/>
      <c r="D235" s="18"/>
      <c r="E235" s="18"/>
      <c r="F235" s="17"/>
      <c r="G235" s="18"/>
      <c r="H235" s="18"/>
      <c r="I235" s="18"/>
      <c r="J235" s="15"/>
      <c r="K235" s="37"/>
      <c r="L235" s="47"/>
      <c r="M235" s="47"/>
      <c r="N235" s="263"/>
      <c r="O235" s="17"/>
      <c r="P235" s="18"/>
    </row>
    <row r="236" spans="1:16" ht="15.75" customHeight="1" x14ac:dyDescent="0.25">
      <c r="A236" s="18"/>
      <c r="B236" s="17"/>
      <c r="C236" s="17"/>
      <c r="D236" s="18"/>
      <c r="E236" s="18"/>
      <c r="F236" s="17"/>
      <c r="G236" s="18"/>
      <c r="H236" s="18"/>
      <c r="I236" s="18"/>
      <c r="J236" s="15"/>
      <c r="K236" s="37"/>
      <c r="L236" s="47"/>
      <c r="M236" s="47"/>
      <c r="N236" s="263"/>
      <c r="O236" s="17"/>
      <c r="P236" s="18"/>
    </row>
    <row r="237" spans="1:16" ht="15.75" customHeight="1" x14ac:dyDescent="0.25">
      <c r="A237" s="18"/>
      <c r="B237" s="17"/>
      <c r="C237" s="17"/>
      <c r="D237" s="18"/>
      <c r="E237" s="18"/>
      <c r="F237" s="17"/>
      <c r="G237" s="18"/>
      <c r="H237" s="18"/>
      <c r="I237" s="18"/>
      <c r="J237" s="15"/>
      <c r="K237" s="37"/>
      <c r="L237" s="47"/>
      <c r="M237" s="47"/>
      <c r="N237" s="263"/>
      <c r="O237" s="17"/>
      <c r="P237" s="18"/>
    </row>
    <row r="238" spans="1:16" ht="15.75" customHeight="1" x14ac:dyDescent="0.25">
      <c r="A238" s="18"/>
      <c r="B238" s="17"/>
      <c r="C238" s="17"/>
      <c r="D238" s="18"/>
      <c r="E238" s="18"/>
      <c r="F238" s="17"/>
      <c r="G238" s="18"/>
      <c r="H238" s="18"/>
      <c r="I238" s="18"/>
      <c r="J238" s="15"/>
      <c r="K238" s="37"/>
      <c r="L238" s="47"/>
      <c r="M238" s="47"/>
      <c r="N238" s="263"/>
      <c r="O238" s="17"/>
      <c r="P238" s="18"/>
    </row>
    <row r="239" spans="1:16" ht="15.75" customHeight="1" x14ac:dyDescent="0.25">
      <c r="A239" s="18"/>
      <c r="B239" s="17"/>
      <c r="C239" s="17"/>
      <c r="D239" s="18"/>
      <c r="E239" s="18"/>
      <c r="F239" s="17"/>
      <c r="G239" s="18"/>
      <c r="H239" s="18"/>
      <c r="I239" s="18"/>
      <c r="J239" s="15"/>
      <c r="K239" s="37"/>
      <c r="L239" s="47"/>
      <c r="M239" s="47"/>
      <c r="N239" s="263"/>
      <c r="O239" s="17"/>
      <c r="P239" s="18"/>
    </row>
    <row r="240" spans="1:16" ht="15.75" customHeight="1" x14ac:dyDescent="0.25">
      <c r="A240" s="18"/>
      <c r="B240" s="17"/>
      <c r="C240" s="17"/>
      <c r="D240" s="18"/>
      <c r="E240" s="18"/>
      <c r="F240" s="17"/>
      <c r="G240" s="18"/>
      <c r="H240" s="18"/>
      <c r="I240" s="18"/>
      <c r="J240" s="15"/>
      <c r="K240" s="37"/>
      <c r="L240" s="47"/>
      <c r="M240" s="47"/>
      <c r="N240" s="263"/>
      <c r="O240" s="17"/>
      <c r="P240" s="18"/>
    </row>
    <row r="241" spans="1:16" ht="15.75" customHeight="1" x14ac:dyDescent="0.25">
      <c r="A241" s="18"/>
      <c r="B241" s="17"/>
      <c r="C241" s="17"/>
      <c r="D241" s="18"/>
      <c r="E241" s="18"/>
      <c r="F241" s="17"/>
      <c r="G241" s="18"/>
      <c r="H241" s="18"/>
      <c r="I241" s="18"/>
      <c r="J241" s="15"/>
      <c r="K241" s="37"/>
      <c r="L241" s="47"/>
      <c r="M241" s="47"/>
      <c r="N241" s="263"/>
      <c r="O241" s="17"/>
      <c r="P241" s="18"/>
    </row>
    <row r="242" spans="1:16" ht="15.75" customHeight="1" x14ac:dyDescent="0.25">
      <c r="A242" s="18"/>
      <c r="B242" s="17"/>
      <c r="C242" s="17"/>
      <c r="D242" s="18"/>
      <c r="E242" s="18"/>
      <c r="F242" s="17"/>
      <c r="G242" s="18"/>
      <c r="H242" s="18"/>
      <c r="I242" s="18"/>
      <c r="J242" s="15"/>
      <c r="K242" s="37"/>
      <c r="L242" s="47"/>
      <c r="M242" s="47"/>
      <c r="N242" s="263"/>
      <c r="O242" s="17"/>
      <c r="P242" s="18"/>
    </row>
    <row r="243" spans="1:16" ht="15.75" customHeight="1" x14ac:dyDescent="0.25">
      <c r="A243" s="18"/>
      <c r="B243" s="17"/>
      <c r="C243" s="17"/>
      <c r="D243" s="18"/>
      <c r="E243" s="18"/>
      <c r="F243" s="17"/>
      <c r="G243" s="18"/>
      <c r="H243" s="18"/>
      <c r="I243" s="18"/>
      <c r="J243" s="15"/>
      <c r="K243" s="37"/>
      <c r="L243" s="47"/>
      <c r="M243" s="47"/>
      <c r="N243" s="263"/>
      <c r="O243" s="17"/>
      <c r="P243" s="18"/>
    </row>
    <row r="244" spans="1:16" ht="15.75" customHeight="1" x14ac:dyDescent="0.25">
      <c r="A244" s="18"/>
      <c r="B244" s="17"/>
      <c r="C244" s="17"/>
      <c r="D244" s="18"/>
      <c r="E244" s="18"/>
      <c r="F244" s="17"/>
      <c r="G244" s="18"/>
      <c r="H244" s="18"/>
      <c r="I244" s="18"/>
      <c r="J244" s="15"/>
      <c r="K244" s="37"/>
      <c r="L244" s="47"/>
      <c r="M244" s="47"/>
      <c r="N244" s="263"/>
      <c r="O244" s="17"/>
      <c r="P244" s="18"/>
    </row>
    <row r="245" spans="1:16" ht="15.75" customHeight="1" x14ac:dyDescent="0.25">
      <c r="A245" s="18"/>
      <c r="B245" s="17"/>
      <c r="C245" s="17"/>
      <c r="D245" s="18"/>
      <c r="E245" s="18"/>
      <c r="F245" s="17"/>
      <c r="G245" s="18"/>
      <c r="H245" s="18"/>
      <c r="I245" s="18"/>
      <c r="J245" s="15"/>
      <c r="K245" s="37"/>
      <c r="L245" s="47"/>
      <c r="M245" s="47"/>
      <c r="N245" s="263"/>
      <c r="O245" s="17"/>
      <c r="P245" s="18"/>
    </row>
    <row r="246" spans="1:16" ht="15.75" customHeight="1" x14ac:dyDescent="0.25">
      <c r="A246" s="18"/>
      <c r="B246" s="17"/>
      <c r="C246" s="17"/>
      <c r="D246" s="18"/>
      <c r="E246" s="18"/>
      <c r="F246" s="17"/>
      <c r="G246" s="18"/>
      <c r="H246" s="18"/>
      <c r="I246" s="18"/>
      <c r="J246" s="15"/>
      <c r="K246" s="37"/>
      <c r="L246" s="47"/>
      <c r="M246" s="47"/>
      <c r="N246" s="263"/>
      <c r="O246" s="17"/>
      <c r="P246" s="18"/>
    </row>
    <row r="247" spans="1:16" ht="15.75" customHeight="1" x14ac:dyDescent="0.25">
      <c r="A247" s="18"/>
      <c r="B247" s="17"/>
      <c r="C247" s="17"/>
      <c r="D247" s="18"/>
      <c r="E247" s="18"/>
      <c r="F247" s="17"/>
      <c r="G247" s="18"/>
      <c r="H247" s="18"/>
      <c r="I247" s="18"/>
      <c r="J247" s="15"/>
      <c r="K247" s="37"/>
      <c r="L247" s="47"/>
      <c r="M247" s="47"/>
      <c r="N247" s="263"/>
      <c r="O247" s="17"/>
      <c r="P247" s="18"/>
    </row>
    <row r="248" spans="1:16" ht="15.75" customHeight="1" x14ac:dyDescent="0.25">
      <c r="A248" s="18"/>
      <c r="B248" s="17"/>
      <c r="C248" s="17"/>
      <c r="D248" s="18"/>
      <c r="E248" s="18"/>
      <c r="F248" s="17"/>
      <c r="G248" s="18"/>
      <c r="H248" s="18"/>
      <c r="I248" s="18"/>
      <c r="J248" s="15"/>
      <c r="K248" s="37"/>
      <c r="L248" s="47"/>
      <c r="M248" s="47"/>
      <c r="N248" s="263"/>
      <c r="O248" s="17"/>
      <c r="P248" s="18"/>
    </row>
    <row r="249" spans="1:16" ht="15.75" customHeight="1" x14ac:dyDescent="0.25">
      <c r="A249" s="18"/>
      <c r="B249" s="17"/>
      <c r="C249" s="17"/>
      <c r="D249" s="18"/>
      <c r="E249" s="18"/>
      <c r="F249" s="17"/>
      <c r="G249" s="18"/>
      <c r="H249" s="18"/>
      <c r="I249" s="18"/>
      <c r="J249" s="15"/>
      <c r="K249" s="37"/>
      <c r="L249" s="47"/>
      <c r="M249" s="47"/>
      <c r="N249" s="263"/>
      <c r="O249" s="17"/>
      <c r="P249" s="18"/>
    </row>
    <row r="250" spans="1:16" ht="15.75" customHeight="1" x14ac:dyDescent="0.25">
      <c r="A250" s="18"/>
      <c r="B250" s="17"/>
      <c r="C250" s="17"/>
      <c r="D250" s="18"/>
      <c r="E250" s="18"/>
      <c r="F250" s="17"/>
      <c r="G250" s="18"/>
      <c r="H250" s="18"/>
      <c r="I250" s="18"/>
      <c r="J250" s="15"/>
      <c r="K250" s="37"/>
      <c r="L250" s="47"/>
      <c r="M250" s="47"/>
      <c r="N250" s="263"/>
      <c r="O250" s="17"/>
      <c r="P250" s="18"/>
    </row>
    <row r="251" spans="1:16" ht="15.75" customHeight="1" x14ac:dyDescent="0.25">
      <c r="A251" s="18"/>
      <c r="B251" s="17"/>
      <c r="C251" s="17"/>
      <c r="D251" s="18"/>
      <c r="E251" s="18"/>
      <c r="F251" s="17"/>
      <c r="G251" s="18"/>
      <c r="H251" s="18"/>
      <c r="I251" s="18"/>
      <c r="J251" s="15"/>
      <c r="K251" s="37"/>
      <c r="L251" s="47"/>
      <c r="M251" s="47"/>
      <c r="N251" s="263"/>
      <c r="O251" s="17"/>
      <c r="P251" s="18"/>
    </row>
    <row r="252" spans="1:16" ht="15.75" customHeight="1" x14ac:dyDescent="0.25">
      <c r="A252" s="18"/>
      <c r="B252" s="17"/>
      <c r="C252" s="17"/>
      <c r="D252" s="18"/>
      <c r="E252" s="18"/>
      <c r="F252" s="17"/>
      <c r="G252" s="18"/>
      <c r="H252" s="18"/>
      <c r="I252" s="18"/>
      <c r="J252" s="15"/>
      <c r="K252" s="37"/>
      <c r="L252" s="47"/>
      <c r="M252" s="47"/>
      <c r="N252" s="263"/>
      <c r="O252" s="17"/>
      <c r="P252" s="18"/>
    </row>
    <row r="253" spans="1:16" ht="15.75" customHeight="1" x14ac:dyDescent="0.25">
      <c r="A253" s="18"/>
      <c r="B253" s="17"/>
      <c r="C253" s="17"/>
      <c r="D253" s="18"/>
      <c r="E253" s="18"/>
      <c r="F253" s="17"/>
      <c r="G253" s="18"/>
      <c r="H253" s="18"/>
      <c r="I253" s="18"/>
      <c r="J253" s="15"/>
      <c r="K253" s="37"/>
      <c r="L253" s="47"/>
      <c r="M253" s="47"/>
      <c r="N253" s="263"/>
      <c r="O253" s="17"/>
      <c r="P253" s="18"/>
    </row>
    <row r="254" spans="1:16" ht="15.75" customHeight="1" x14ac:dyDescent="0.25">
      <c r="A254" s="18"/>
      <c r="B254" s="17"/>
      <c r="C254" s="17"/>
      <c r="D254" s="18"/>
      <c r="E254" s="18"/>
      <c r="F254" s="17"/>
      <c r="G254" s="18"/>
      <c r="H254" s="18"/>
      <c r="I254" s="18"/>
      <c r="J254" s="15"/>
      <c r="K254" s="37"/>
      <c r="L254" s="47"/>
      <c r="M254" s="47"/>
      <c r="N254" s="263"/>
      <c r="O254" s="17"/>
      <c r="P254" s="18"/>
    </row>
    <row r="255" spans="1:16" ht="15.75" customHeight="1" x14ac:dyDescent="0.25">
      <c r="A255" s="18"/>
      <c r="B255" s="17"/>
      <c r="C255" s="17"/>
      <c r="D255" s="18"/>
      <c r="E255" s="18"/>
      <c r="F255" s="17"/>
      <c r="G255" s="18"/>
      <c r="H255" s="18"/>
      <c r="I255" s="18"/>
      <c r="J255" s="15"/>
      <c r="K255" s="37"/>
      <c r="L255" s="47"/>
      <c r="M255" s="47"/>
      <c r="N255" s="263"/>
      <c r="O255" s="17"/>
      <c r="P255" s="18"/>
    </row>
    <row r="256" spans="1:16" ht="15.75" customHeight="1" x14ac:dyDescent="0.25">
      <c r="A256" s="18"/>
      <c r="B256" s="17"/>
      <c r="C256" s="17"/>
      <c r="D256" s="18"/>
      <c r="E256" s="18"/>
      <c r="F256" s="17"/>
      <c r="G256" s="18"/>
      <c r="H256" s="18"/>
      <c r="I256" s="18"/>
      <c r="J256" s="15"/>
      <c r="K256" s="37"/>
      <c r="L256" s="47"/>
      <c r="M256" s="47"/>
      <c r="N256" s="263"/>
      <c r="O256" s="17"/>
      <c r="P256" s="18"/>
    </row>
    <row r="257" spans="1:16" ht="15.75" customHeight="1" x14ac:dyDescent="0.25">
      <c r="A257" s="18"/>
      <c r="B257" s="17"/>
      <c r="C257" s="17"/>
      <c r="D257" s="18"/>
      <c r="E257" s="18"/>
      <c r="F257" s="17"/>
      <c r="G257" s="18"/>
      <c r="H257" s="18"/>
      <c r="I257" s="18"/>
      <c r="J257" s="15"/>
      <c r="K257" s="37"/>
      <c r="L257" s="47"/>
      <c r="M257" s="47"/>
      <c r="N257" s="263"/>
      <c r="O257" s="17"/>
      <c r="P257" s="18"/>
    </row>
    <row r="258" spans="1:16" ht="15.75" customHeight="1" x14ac:dyDescent="0.25">
      <c r="A258" s="18"/>
      <c r="B258" s="17"/>
      <c r="C258" s="17"/>
      <c r="D258" s="18"/>
      <c r="E258" s="18"/>
      <c r="F258" s="17"/>
      <c r="G258" s="18"/>
      <c r="H258" s="18"/>
      <c r="I258" s="18"/>
      <c r="J258" s="15"/>
      <c r="K258" s="37"/>
      <c r="L258" s="47"/>
      <c r="M258" s="47"/>
      <c r="N258" s="263"/>
      <c r="O258" s="17"/>
      <c r="P258" s="18"/>
    </row>
    <row r="259" spans="1:16" ht="15.75" customHeight="1" x14ac:dyDescent="0.25">
      <c r="A259" s="18"/>
      <c r="B259" s="17"/>
      <c r="C259" s="17"/>
      <c r="D259" s="18"/>
      <c r="E259" s="18"/>
      <c r="F259" s="17"/>
      <c r="G259" s="18"/>
      <c r="H259" s="18"/>
      <c r="I259" s="18"/>
      <c r="J259" s="15"/>
      <c r="K259" s="37"/>
      <c r="L259" s="47"/>
      <c r="M259" s="47"/>
      <c r="N259" s="263"/>
      <c r="O259" s="17"/>
      <c r="P259" s="18"/>
    </row>
    <row r="260" spans="1:16" ht="15.75" customHeight="1" x14ac:dyDescent="0.25">
      <c r="A260" s="18"/>
      <c r="B260" s="17"/>
      <c r="C260" s="17"/>
      <c r="D260" s="18"/>
      <c r="E260" s="18"/>
      <c r="F260" s="17"/>
      <c r="G260" s="18"/>
      <c r="H260" s="18"/>
      <c r="I260" s="18"/>
      <c r="J260" s="15"/>
      <c r="K260" s="37"/>
      <c r="L260" s="47"/>
      <c r="M260" s="47"/>
      <c r="N260" s="263"/>
      <c r="O260" s="17"/>
      <c r="P260" s="18"/>
    </row>
    <row r="261" spans="1:16" ht="15.75" customHeight="1" x14ac:dyDescent="0.25">
      <c r="A261" s="18"/>
      <c r="B261" s="17"/>
      <c r="C261" s="17"/>
      <c r="D261" s="18"/>
      <c r="E261" s="18"/>
      <c r="F261" s="17"/>
      <c r="G261" s="18"/>
      <c r="H261" s="18"/>
      <c r="I261" s="18"/>
      <c r="J261" s="15"/>
      <c r="K261" s="37"/>
      <c r="L261" s="47"/>
      <c r="M261" s="47"/>
      <c r="N261" s="263"/>
      <c r="O261" s="17"/>
      <c r="P261" s="18"/>
    </row>
    <row r="262" spans="1:16" ht="15.75" customHeight="1" x14ac:dyDescent="0.25">
      <c r="A262" s="18"/>
      <c r="B262" s="17"/>
      <c r="C262" s="17"/>
      <c r="D262" s="18"/>
      <c r="E262" s="18"/>
      <c r="F262" s="17"/>
      <c r="G262" s="18"/>
      <c r="H262" s="18"/>
      <c r="I262" s="18"/>
      <c r="J262" s="15"/>
      <c r="K262" s="37"/>
      <c r="L262" s="47"/>
      <c r="M262" s="47"/>
      <c r="N262" s="263"/>
      <c r="O262" s="17"/>
      <c r="P262" s="18"/>
    </row>
    <row r="263" spans="1:16" ht="15.75" customHeight="1" x14ac:dyDescent="0.25">
      <c r="A263" s="18"/>
      <c r="B263" s="17"/>
      <c r="C263" s="17"/>
      <c r="D263" s="18"/>
      <c r="E263" s="18"/>
      <c r="F263" s="17"/>
      <c r="G263" s="18"/>
      <c r="H263" s="18"/>
      <c r="I263" s="18"/>
      <c r="J263" s="15"/>
      <c r="K263" s="37"/>
      <c r="L263" s="47"/>
      <c r="M263" s="47"/>
      <c r="N263" s="263"/>
      <c r="O263" s="17"/>
      <c r="P263" s="18"/>
    </row>
    <row r="264" spans="1:16" ht="15.75" customHeight="1" x14ac:dyDescent="0.25">
      <c r="A264" s="18"/>
      <c r="B264" s="17"/>
      <c r="C264" s="17"/>
      <c r="D264" s="18"/>
      <c r="E264" s="18"/>
      <c r="F264" s="17"/>
      <c r="G264" s="18"/>
      <c r="H264" s="18"/>
      <c r="I264" s="18"/>
      <c r="J264" s="15"/>
      <c r="K264" s="37"/>
      <c r="L264" s="47"/>
      <c r="M264" s="47"/>
      <c r="N264" s="263"/>
      <c r="O264" s="17"/>
      <c r="P264" s="18"/>
    </row>
    <row r="265" spans="1:16" ht="15.75" customHeight="1" x14ac:dyDescent="0.25">
      <c r="A265" s="18"/>
      <c r="B265" s="17"/>
      <c r="C265" s="17"/>
      <c r="D265" s="18"/>
      <c r="E265" s="18"/>
      <c r="F265" s="17"/>
      <c r="G265" s="18"/>
      <c r="H265" s="18"/>
      <c r="I265" s="18"/>
      <c r="J265" s="15"/>
      <c r="K265" s="37"/>
      <c r="L265" s="47"/>
      <c r="M265" s="47"/>
      <c r="N265" s="263"/>
      <c r="O265" s="17"/>
      <c r="P265" s="18"/>
    </row>
    <row r="266" spans="1:16" ht="15.75" customHeight="1" x14ac:dyDescent="0.25">
      <c r="A266" s="18"/>
      <c r="B266" s="17"/>
      <c r="C266" s="17"/>
      <c r="D266" s="18"/>
      <c r="E266" s="18"/>
      <c r="F266" s="17"/>
      <c r="G266" s="18"/>
      <c r="H266" s="18"/>
      <c r="I266" s="18"/>
      <c r="J266" s="15"/>
      <c r="K266" s="37"/>
      <c r="L266" s="47"/>
      <c r="M266" s="47"/>
      <c r="N266" s="263"/>
      <c r="O266" s="17"/>
      <c r="P266" s="18"/>
    </row>
    <row r="267" spans="1:16" ht="15.75" customHeight="1" x14ac:dyDescent="0.25">
      <c r="A267" s="18"/>
      <c r="B267" s="17"/>
      <c r="C267" s="17"/>
      <c r="D267" s="18"/>
      <c r="E267" s="18"/>
      <c r="F267" s="17"/>
      <c r="G267" s="18"/>
      <c r="H267" s="18"/>
      <c r="I267" s="18"/>
      <c r="J267" s="15"/>
      <c r="K267" s="37"/>
      <c r="L267" s="47"/>
      <c r="M267" s="47"/>
      <c r="N267" s="263"/>
      <c r="O267" s="17"/>
      <c r="P267" s="18"/>
    </row>
    <row r="268" spans="1:16" ht="15.75" customHeight="1" x14ac:dyDescent="0.25">
      <c r="A268" s="18"/>
      <c r="B268" s="17"/>
      <c r="C268" s="17"/>
      <c r="D268" s="18"/>
      <c r="E268" s="18"/>
      <c r="F268" s="17"/>
      <c r="G268" s="18"/>
      <c r="H268" s="18"/>
      <c r="I268" s="18"/>
      <c r="J268" s="15"/>
      <c r="K268" s="37"/>
      <c r="L268" s="47"/>
      <c r="M268" s="47"/>
      <c r="N268" s="263"/>
      <c r="O268" s="17"/>
      <c r="P268" s="18"/>
    </row>
    <row r="269" spans="1:16" ht="15.75" customHeight="1" x14ac:dyDescent="0.25">
      <c r="A269" s="18"/>
      <c r="B269" s="17"/>
      <c r="C269" s="17"/>
      <c r="D269" s="18"/>
      <c r="E269" s="18"/>
      <c r="F269" s="17"/>
      <c r="G269" s="18"/>
      <c r="H269" s="18"/>
      <c r="I269" s="18"/>
      <c r="J269" s="15"/>
      <c r="K269" s="37"/>
      <c r="L269" s="47"/>
      <c r="M269" s="47"/>
      <c r="N269" s="263"/>
      <c r="O269" s="17"/>
      <c r="P269" s="18"/>
    </row>
    <row r="270" spans="1:16" ht="15.75" customHeight="1" x14ac:dyDescent="0.25">
      <c r="A270" s="18"/>
      <c r="B270" s="17"/>
      <c r="C270" s="17"/>
      <c r="D270" s="18"/>
      <c r="E270" s="18"/>
      <c r="F270" s="17"/>
      <c r="G270" s="18"/>
      <c r="H270" s="18"/>
      <c r="I270" s="18"/>
      <c r="J270" s="15"/>
      <c r="K270" s="37"/>
      <c r="L270" s="47"/>
      <c r="M270" s="47"/>
      <c r="N270" s="263"/>
      <c r="O270" s="17"/>
      <c r="P270" s="18"/>
    </row>
    <row r="271" spans="1:16" ht="15.75" customHeight="1" x14ac:dyDescent="0.25">
      <c r="A271" s="18"/>
      <c r="B271" s="17"/>
      <c r="C271" s="17"/>
      <c r="D271" s="18"/>
      <c r="E271" s="18"/>
      <c r="F271" s="17"/>
      <c r="G271" s="18"/>
      <c r="H271" s="18"/>
      <c r="I271" s="18"/>
      <c r="J271" s="15"/>
      <c r="K271" s="37"/>
      <c r="L271" s="47"/>
      <c r="M271" s="47"/>
      <c r="N271" s="263"/>
      <c r="O271" s="17"/>
      <c r="P271" s="18"/>
    </row>
    <row r="272" spans="1:16" ht="15.75" customHeight="1" x14ac:dyDescent="0.25">
      <c r="A272" s="18"/>
      <c r="B272" s="17"/>
      <c r="C272" s="17"/>
      <c r="D272" s="18"/>
      <c r="E272" s="18"/>
      <c r="F272" s="17"/>
      <c r="G272" s="18"/>
      <c r="H272" s="18"/>
      <c r="I272" s="18"/>
      <c r="J272" s="15"/>
      <c r="K272" s="37"/>
      <c r="L272" s="47"/>
      <c r="M272" s="47"/>
      <c r="N272" s="263"/>
      <c r="O272" s="17"/>
      <c r="P272" s="18"/>
    </row>
    <row r="273" spans="1:16" ht="15.75" customHeight="1" x14ac:dyDescent="0.25">
      <c r="A273" s="18"/>
      <c r="B273" s="17"/>
      <c r="C273" s="17"/>
      <c r="D273" s="18"/>
      <c r="E273" s="18"/>
      <c r="F273" s="17"/>
      <c r="G273" s="18"/>
      <c r="H273" s="18"/>
      <c r="I273" s="18"/>
      <c r="J273" s="15"/>
      <c r="K273" s="37"/>
      <c r="L273" s="47"/>
      <c r="M273" s="47"/>
      <c r="N273" s="263"/>
      <c r="O273" s="17"/>
      <c r="P273" s="18"/>
    </row>
    <row r="274" spans="1:16" ht="15.75" customHeight="1" x14ac:dyDescent="0.25">
      <c r="A274" s="18"/>
      <c r="B274" s="17"/>
      <c r="C274" s="17"/>
      <c r="D274" s="18"/>
      <c r="E274" s="18"/>
      <c r="F274" s="17"/>
      <c r="G274" s="18"/>
      <c r="H274" s="18"/>
      <c r="I274" s="18"/>
      <c r="J274" s="15"/>
      <c r="K274" s="37"/>
      <c r="L274" s="47"/>
      <c r="M274" s="47"/>
      <c r="N274" s="263"/>
      <c r="O274" s="17"/>
      <c r="P274" s="18"/>
    </row>
    <row r="275" spans="1:16" ht="15.75" customHeight="1" x14ac:dyDescent="0.25">
      <c r="A275" s="18"/>
      <c r="B275" s="17"/>
      <c r="C275" s="17"/>
      <c r="D275" s="18"/>
      <c r="E275" s="18"/>
      <c r="F275" s="17"/>
      <c r="G275" s="18"/>
      <c r="H275" s="18"/>
      <c r="I275" s="18"/>
      <c r="J275" s="15"/>
      <c r="K275" s="37"/>
      <c r="L275" s="47"/>
      <c r="M275" s="47"/>
      <c r="N275" s="263"/>
      <c r="O275" s="17"/>
      <c r="P275" s="18"/>
    </row>
    <row r="276" spans="1:16" ht="15.75" customHeight="1" x14ac:dyDescent="0.25">
      <c r="A276" s="18"/>
      <c r="B276" s="17"/>
      <c r="C276" s="17"/>
      <c r="D276" s="18"/>
      <c r="E276" s="18"/>
      <c r="F276" s="17"/>
      <c r="G276" s="18"/>
      <c r="H276" s="18"/>
      <c r="I276" s="18"/>
      <c r="J276" s="15"/>
      <c r="K276" s="37"/>
      <c r="L276" s="47"/>
      <c r="M276" s="47"/>
      <c r="N276" s="263"/>
      <c r="O276" s="17"/>
      <c r="P276" s="18"/>
    </row>
    <row r="277" spans="1:16" ht="15.75" customHeight="1" x14ac:dyDescent="0.25">
      <c r="A277" s="18"/>
      <c r="B277" s="17"/>
      <c r="C277" s="17"/>
      <c r="D277" s="18"/>
      <c r="E277" s="18"/>
      <c r="F277" s="17"/>
      <c r="G277" s="18"/>
      <c r="H277" s="18"/>
      <c r="I277" s="18"/>
      <c r="J277" s="15"/>
      <c r="K277" s="37"/>
      <c r="L277" s="47"/>
      <c r="M277" s="47"/>
      <c r="N277" s="263"/>
      <c r="O277" s="17"/>
      <c r="P277" s="18"/>
    </row>
    <row r="278" spans="1:16" ht="15.75" customHeight="1" x14ac:dyDescent="0.25">
      <c r="A278" s="18"/>
      <c r="B278" s="17"/>
      <c r="C278" s="17"/>
      <c r="D278" s="18"/>
      <c r="E278" s="18"/>
      <c r="F278" s="17"/>
      <c r="G278" s="18"/>
      <c r="H278" s="18"/>
      <c r="I278" s="18"/>
      <c r="J278" s="15"/>
      <c r="K278" s="37"/>
      <c r="L278" s="47"/>
      <c r="M278" s="47"/>
      <c r="N278" s="263"/>
      <c r="O278" s="17"/>
      <c r="P278" s="18"/>
    </row>
    <row r="279" spans="1:16" ht="15.75" customHeight="1" x14ac:dyDescent="0.25">
      <c r="A279" s="18"/>
      <c r="B279" s="17"/>
      <c r="C279" s="17"/>
      <c r="D279" s="18"/>
      <c r="E279" s="18"/>
      <c r="F279" s="17"/>
      <c r="G279" s="18"/>
      <c r="H279" s="18"/>
      <c r="I279" s="18"/>
      <c r="J279" s="15"/>
      <c r="K279" s="37"/>
      <c r="L279" s="47"/>
      <c r="M279" s="47"/>
      <c r="N279" s="263"/>
      <c r="O279" s="17"/>
      <c r="P279" s="18"/>
    </row>
    <row r="280" spans="1:16" ht="15.75" customHeight="1" x14ac:dyDescent="0.25">
      <c r="A280" s="18"/>
      <c r="B280" s="17"/>
      <c r="C280" s="17"/>
      <c r="D280" s="18"/>
      <c r="E280" s="18"/>
      <c r="F280" s="17"/>
      <c r="G280" s="18"/>
      <c r="H280" s="18"/>
      <c r="I280" s="18"/>
      <c r="J280" s="15"/>
      <c r="K280" s="37"/>
      <c r="L280" s="47"/>
      <c r="M280" s="47"/>
      <c r="N280" s="263"/>
      <c r="O280" s="17"/>
      <c r="P280" s="18"/>
    </row>
    <row r="281" spans="1:16" ht="15.75" customHeight="1" x14ac:dyDescent="0.25">
      <c r="A281" s="18"/>
      <c r="B281" s="17"/>
      <c r="C281" s="17"/>
      <c r="D281" s="18"/>
      <c r="E281" s="18"/>
      <c r="F281" s="17"/>
      <c r="G281" s="18"/>
      <c r="H281" s="18"/>
      <c r="I281" s="18"/>
      <c r="J281" s="15"/>
      <c r="K281" s="37"/>
      <c r="L281" s="47"/>
      <c r="M281" s="47"/>
      <c r="N281" s="263"/>
      <c r="O281" s="17"/>
      <c r="P281" s="18"/>
    </row>
    <row r="282" spans="1:16" ht="15.75" customHeight="1" x14ac:dyDescent="0.25">
      <c r="A282" s="18"/>
      <c r="B282" s="17"/>
      <c r="C282" s="17"/>
      <c r="D282" s="18"/>
      <c r="E282" s="18"/>
      <c r="F282" s="17"/>
      <c r="G282" s="18"/>
      <c r="H282" s="18"/>
      <c r="I282" s="18"/>
      <c r="J282" s="15"/>
      <c r="K282" s="37"/>
      <c r="L282" s="47"/>
      <c r="M282" s="47"/>
      <c r="N282" s="263"/>
      <c r="O282" s="17"/>
      <c r="P282" s="18"/>
    </row>
    <row r="283" spans="1:16" ht="15.75" customHeight="1" x14ac:dyDescent="0.25">
      <c r="A283" s="18"/>
      <c r="B283" s="17"/>
      <c r="C283" s="17"/>
      <c r="D283" s="18"/>
      <c r="E283" s="18"/>
      <c r="F283" s="17"/>
      <c r="G283" s="18"/>
      <c r="H283" s="18"/>
      <c r="I283" s="18"/>
      <c r="J283" s="15"/>
      <c r="K283" s="37"/>
      <c r="L283" s="47"/>
      <c r="M283" s="47"/>
      <c r="N283" s="263"/>
      <c r="O283" s="17"/>
      <c r="P283" s="18"/>
    </row>
    <row r="284" spans="1:16" ht="15.75" customHeight="1" x14ac:dyDescent="0.25">
      <c r="A284" s="18"/>
      <c r="B284" s="17"/>
      <c r="C284" s="17"/>
      <c r="D284" s="18"/>
      <c r="E284" s="18"/>
      <c r="F284" s="17"/>
      <c r="G284" s="18"/>
      <c r="H284" s="18"/>
      <c r="I284" s="18"/>
      <c r="J284" s="15"/>
      <c r="K284" s="37"/>
      <c r="L284" s="47"/>
      <c r="M284" s="47"/>
      <c r="N284" s="263"/>
      <c r="O284" s="17"/>
      <c r="P284" s="18"/>
    </row>
    <row r="285" spans="1:16" ht="15.75" customHeight="1" x14ac:dyDescent="0.25">
      <c r="A285" s="18"/>
      <c r="B285" s="17"/>
      <c r="C285" s="17"/>
      <c r="D285" s="18"/>
      <c r="E285" s="18"/>
      <c r="F285" s="17"/>
      <c r="G285" s="18"/>
      <c r="H285" s="18"/>
      <c r="I285" s="18"/>
      <c r="J285" s="15"/>
      <c r="K285" s="37"/>
      <c r="L285" s="47"/>
      <c r="M285" s="47"/>
      <c r="N285" s="263"/>
      <c r="O285" s="17"/>
      <c r="P285" s="18"/>
    </row>
    <row r="286" spans="1:16" ht="15.75" customHeight="1" x14ac:dyDescent="0.25">
      <c r="A286" s="18"/>
      <c r="B286" s="17"/>
      <c r="C286" s="17"/>
      <c r="D286" s="18"/>
      <c r="E286" s="18"/>
      <c r="F286" s="17"/>
      <c r="G286" s="18"/>
      <c r="H286" s="18"/>
      <c r="I286" s="18"/>
      <c r="J286" s="15"/>
      <c r="K286" s="37"/>
      <c r="L286" s="47"/>
      <c r="M286" s="47"/>
      <c r="N286" s="263"/>
      <c r="O286" s="17"/>
      <c r="P286" s="18"/>
    </row>
    <row r="287" spans="1:16" ht="15.75" customHeight="1" x14ac:dyDescent="0.25">
      <c r="A287" s="18"/>
      <c r="B287" s="17"/>
      <c r="C287" s="17"/>
      <c r="D287" s="18"/>
      <c r="E287" s="18"/>
      <c r="F287" s="17"/>
      <c r="G287" s="18"/>
      <c r="H287" s="18"/>
      <c r="I287" s="18"/>
      <c r="J287" s="15"/>
      <c r="K287" s="37"/>
      <c r="L287" s="47"/>
      <c r="M287" s="47"/>
      <c r="N287" s="263"/>
      <c r="O287" s="17"/>
      <c r="P287" s="18"/>
    </row>
    <row r="288" spans="1:16" ht="15.75" customHeight="1" x14ac:dyDescent="0.25">
      <c r="A288" s="18"/>
      <c r="B288" s="17"/>
      <c r="C288" s="17"/>
      <c r="D288" s="18"/>
      <c r="E288" s="18"/>
      <c r="F288" s="17"/>
      <c r="G288" s="18"/>
      <c r="H288" s="18"/>
      <c r="I288" s="18"/>
      <c r="J288" s="15"/>
      <c r="K288" s="37"/>
      <c r="L288" s="47"/>
      <c r="M288" s="47"/>
      <c r="N288" s="263"/>
      <c r="O288" s="17"/>
      <c r="P288" s="18"/>
    </row>
    <row r="289" spans="1:16" ht="15.75" customHeight="1" x14ac:dyDescent="0.25">
      <c r="A289" s="18"/>
      <c r="B289" s="17"/>
      <c r="C289" s="17"/>
      <c r="D289" s="18"/>
      <c r="E289" s="18"/>
      <c r="F289" s="17"/>
      <c r="G289" s="18"/>
      <c r="H289" s="18"/>
      <c r="I289" s="18"/>
      <c r="J289" s="15"/>
      <c r="K289" s="37"/>
      <c r="L289" s="47"/>
      <c r="M289" s="47"/>
      <c r="N289" s="263"/>
      <c r="O289" s="17"/>
      <c r="P289" s="18"/>
    </row>
    <row r="290" spans="1:16" ht="15.75" customHeight="1" x14ac:dyDescent="0.25">
      <c r="A290" s="18"/>
      <c r="B290" s="17"/>
      <c r="C290" s="17"/>
      <c r="D290" s="18"/>
      <c r="E290" s="18"/>
      <c r="F290" s="17"/>
      <c r="G290" s="18"/>
      <c r="H290" s="18"/>
      <c r="I290" s="18"/>
      <c r="J290" s="15"/>
      <c r="K290" s="37"/>
      <c r="L290" s="47"/>
      <c r="M290" s="47"/>
      <c r="N290" s="263"/>
      <c r="O290" s="17"/>
      <c r="P290" s="18"/>
    </row>
    <row r="291" spans="1:16" ht="15.75" customHeight="1" x14ac:dyDescent="0.25">
      <c r="A291" s="18"/>
      <c r="B291" s="17"/>
      <c r="C291" s="17"/>
      <c r="D291" s="18"/>
      <c r="E291" s="18"/>
      <c r="F291" s="17"/>
      <c r="G291" s="18"/>
      <c r="H291" s="18"/>
      <c r="I291" s="18"/>
      <c r="J291" s="15"/>
      <c r="K291" s="37"/>
      <c r="L291" s="47"/>
      <c r="M291" s="47"/>
      <c r="N291" s="263"/>
      <c r="O291" s="17"/>
      <c r="P291" s="18"/>
    </row>
    <row r="292" spans="1:16" ht="15.75" customHeight="1" x14ac:dyDescent="0.25">
      <c r="A292" s="18"/>
      <c r="B292" s="17"/>
      <c r="C292" s="17"/>
      <c r="D292" s="18"/>
      <c r="E292" s="18"/>
      <c r="F292" s="17"/>
      <c r="G292" s="18"/>
      <c r="H292" s="18"/>
      <c r="I292" s="18"/>
      <c r="J292" s="15"/>
      <c r="K292" s="37"/>
      <c r="L292" s="47"/>
      <c r="M292" s="47"/>
      <c r="N292" s="263"/>
      <c r="O292" s="17"/>
      <c r="P292" s="18"/>
    </row>
    <row r="293" spans="1:16" ht="15.75" customHeight="1" x14ac:dyDescent="0.25">
      <c r="A293" s="18"/>
      <c r="B293" s="17"/>
      <c r="C293" s="17"/>
      <c r="D293" s="18"/>
      <c r="E293" s="18"/>
      <c r="F293" s="17"/>
      <c r="G293" s="18"/>
      <c r="H293" s="18"/>
      <c r="I293" s="18"/>
      <c r="J293" s="15"/>
      <c r="K293" s="37"/>
      <c r="L293" s="47"/>
      <c r="M293" s="47"/>
      <c r="N293" s="263"/>
      <c r="O293" s="17"/>
      <c r="P293" s="18"/>
    </row>
    <row r="294" spans="1:16" ht="15.75" customHeight="1" x14ac:dyDescent="0.25">
      <c r="A294" s="18"/>
      <c r="B294" s="17"/>
      <c r="C294" s="17"/>
      <c r="D294" s="18"/>
      <c r="E294" s="18"/>
      <c r="F294" s="17"/>
      <c r="G294" s="18"/>
      <c r="H294" s="18"/>
      <c r="I294" s="18"/>
      <c r="J294" s="15"/>
      <c r="K294" s="37"/>
      <c r="L294" s="47"/>
      <c r="M294" s="47"/>
      <c r="N294" s="263"/>
      <c r="O294" s="17"/>
      <c r="P294" s="18"/>
    </row>
    <row r="295" spans="1:16" ht="15.75" customHeight="1" x14ac:dyDescent="0.25">
      <c r="A295" s="18"/>
      <c r="B295" s="17"/>
      <c r="C295" s="17"/>
      <c r="D295" s="18"/>
      <c r="E295" s="18"/>
      <c r="F295" s="17"/>
      <c r="G295" s="18"/>
      <c r="H295" s="18"/>
      <c r="I295" s="18"/>
      <c r="J295" s="15"/>
      <c r="K295" s="37"/>
      <c r="L295" s="47"/>
      <c r="M295" s="47"/>
      <c r="N295" s="263"/>
      <c r="O295" s="17"/>
      <c r="P295" s="18"/>
    </row>
    <row r="296" spans="1:16" ht="15.75" customHeight="1" x14ac:dyDescent="0.25">
      <c r="A296" s="18"/>
      <c r="B296" s="17"/>
      <c r="C296" s="17"/>
      <c r="D296" s="18"/>
      <c r="E296" s="18"/>
      <c r="F296" s="17"/>
      <c r="G296" s="18"/>
      <c r="H296" s="18"/>
      <c r="I296" s="18"/>
      <c r="J296" s="15"/>
      <c r="K296" s="37"/>
      <c r="L296" s="47"/>
      <c r="M296" s="47"/>
      <c r="N296" s="263"/>
      <c r="O296" s="17"/>
      <c r="P296" s="18"/>
    </row>
    <row r="297" spans="1:16" ht="15.75" customHeight="1" x14ac:dyDescent="0.25">
      <c r="A297" s="18"/>
      <c r="B297" s="17"/>
      <c r="C297" s="17"/>
      <c r="D297" s="18"/>
      <c r="E297" s="18"/>
      <c r="F297" s="17"/>
      <c r="G297" s="18"/>
      <c r="H297" s="18"/>
      <c r="I297" s="18"/>
      <c r="J297" s="15"/>
      <c r="K297" s="37"/>
      <c r="L297" s="47"/>
      <c r="M297" s="47"/>
      <c r="N297" s="263"/>
      <c r="O297" s="17"/>
      <c r="P297" s="18"/>
    </row>
    <row r="298" spans="1:16" ht="15.75" customHeight="1" x14ac:dyDescent="0.25">
      <c r="A298" s="18"/>
      <c r="B298" s="17"/>
      <c r="C298" s="17"/>
      <c r="D298" s="18"/>
      <c r="E298" s="18"/>
      <c r="F298" s="17"/>
      <c r="G298" s="18"/>
      <c r="H298" s="18"/>
      <c r="I298" s="18"/>
      <c r="J298" s="15"/>
      <c r="K298" s="37"/>
      <c r="L298" s="47"/>
      <c r="M298" s="47"/>
      <c r="N298" s="263"/>
      <c r="O298" s="17"/>
      <c r="P298" s="18"/>
    </row>
    <row r="299" spans="1:16" ht="15.75" customHeight="1" x14ac:dyDescent="0.25">
      <c r="A299" s="18"/>
      <c r="B299" s="17"/>
      <c r="C299" s="17"/>
      <c r="D299" s="18"/>
      <c r="E299" s="18"/>
      <c r="F299" s="17"/>
      <c r="G299" s="18"/>
      <c r="H299" s="18"/>
      <c r="I299" s="18"/>
      <c r="J299" s="15"/>
      <c r="K299" s="37"/>
      <c r="L299" s="47"/>
      <c r="M299" s="47"/>
      <c r="N299" s="263"/>
      <c r="O299" s="17"/>
      <c r="P299" s="18"/>
    </row>
    <row r="300" spans="1:16" ht="15.75" customHeight="1" x14ac:dyDescent="0.25">
      <c r="A300" s="18"/>
      <c r="B300" s="17"/>
      <c r="C300" s="17"/>
      <c r="D300" s="18"/>
      <c r="E300" s="18"/>
      <c r="F300" s="17"/>
      <c r="G300" s="18"/>
      <c r="H300" s="18"/>
      <c r="I300" s="18"/>
      <c r="J300" s="15"/>
      <c r="K300" s="37"/>
      <c r="L300" s="47"/>
      <c r="M300" s="47"/>
      <c r="N300" s="263"/>
      <c r="O300" s="17"/>
      <c r="P300" s="18"/>
    </row>
    <row r="301" spans="1:16" ht="15.75" customHeight="1" x14ac:dyDescent="0.25">
      <c r="A301" s="18"/>
      <c r="B301" s="17"/>
      <c r="C301" s="17"/>
      <c r="D301" s="18"/>
      <c r="E301" s="18"/>
      <c r="F301" s="17"/>
      <c r="G301" s="18"/>
      <c r="H301" s="18"/>
      <c r="I301" s="18"/>
      <c r="J301" s="15"/>
      <c r="K301" s="37"/>
      <c r="L301" s="47"/>
      <c r="M301" s="47"/>
      <c r="N301" s="263"/>
      <c r="O301" s="17"/>
      <c r="P301" s="18"/>
    </row>
    <row r="302" spans="1:16" ht="15.75" customHeight="1" x14ac:dyDescent="0.25">
      <c r="A302" s="18"/>
      <c r="B302" s="17"/>
      <c r="C302" s="17"/>
      <c r="D302" s="18"/>
      <c r="E302" s="18"/>
      <c r="F302" s="17"/>
      <c r="G302" s="18"/>
      <c r="H302" s="18"/>
      <c r="I302" s="18"/>
      <c r="J302" s="15"/>
      <c r="K302" s="37"/>
      <c r="L302" s="47"/>
      <c r="M302" s="47"/>
      <c r="N302" s="263"/>
      <c r="O302" s="17"/>
      <c r="P302" s="18"/>
    </row>
    <row r="303" spans="1:16" ht="15.75" customHeight="1" x14ac:dyDescent="0.25">
      <c r="A303" s="18"/>
      <c r="B303" s="17"/>
      <c r="C303" s="17"/>
      <c r="D303" s="18"/>
      <c r="E303" s="18"/>
      <c r="F303" s="17"/>
      <c r="G303" s="18"/>
      <c r="H303" s="18"/>
      <c r="I303" s="18"/>
      <c r="J303" s="15"/>
      <c r="K303" s="37"/>
      <c r="L303" s="47"/>
      <c r="M303" s="47"/>
      <c r="N303" s="263"/>
      <c r="O303" s="17"/>
      <c r="P303" s="18"/>
    </row>
    <row r="304" spans="1:16" ht="15.75" customHeight="1" x14ac:dyDescent="0.25">
      <c r="A304" s="18"/>
      <c r="B304" s="17"/>
      <c r="C304" s="17"/>
      <c r="D304" s="18"/>
      <c r="E304" s="18"/>
      <c r="F304" s="17"/>
      <c r="G304" s="18"/>
      <c r="H304" s="18"/>
      <c r="I304" s="18"/>
      <c r="J304" s="15"/>
      <c r="K304" s="37"/>
      <c r="L304" s="47"/>
      <c r="M304" s="47"/>
      <c r="N304" s="263"/>
      <c r="O304" s="17"/>
      <c r="P304" s="18"/>
    </row>
    <row r="305" spans="1:16" ht="15.75" customHeight="1" x14ac:dyDescent="0.25">
      <c r="A305" s="18"/>
      <c r="B305" s="17"/>
      <c r="C305" s="17"/>
      <c r="D305" s="18"/>
      <c r="E305" s="18"/>
      <c r="F305" s="17"/>
      <c r="G305" s="18"/>
      <c r="H305" s="18"/>
      <c r="I305" s="18"/>
      <c r="J305" s="15"/>
      <c r="K305" s="37"/>
      <c r="L305" s="47"/>
      <c r="M305" s="47"/>
      <c r="N305" s="263"/>
      <c r="O305" s="17"/>
      <c r="P305" s="18"/>
    </row>
    <row r="306" spans="1:16" ht="15.75" customHeight="1" x14ac:dyDescent="0.25">
      <c r="A306" s="18"/>
      <c r="B306" s="17"/>
      <c r="C306" s="17"/>
      <c r="D306" s="18"/>
      <c r="E306" s="18"/>
      <c r="F306" s="17"/>
      <c r="G306" s="18"/>
      <c r="H306" s="18"/>
      <c r="I306" s="18"/>
      <c r="J306" s="15"/>
      <c r="K306" s="37"/>
      <c r="L306" s="47"/>
      <c r="M306" s="47"/>
      <c r="N306" s="263"/>
      <c r="O306" s="17"/>
      <c r="P306" s="18"/>
    </row>
    <row r="307" spans="1:16" ht="15.75" customHeight="1" x14ac:dyDescent="0.25">
      <c r="A307" s="18"/>
      <c r="B307" s="17"/>
      <c r="C307" s="17"/>
      <c r="D307" s="18"/>
      <c r="E307" s="18"/>
      <c r="F307" s="17"/>
      <c r="G307" s="18"/>
      <c r="H307" s="18"/>
      <c r="I307" s="18"/>
      <c r="J307" s="15"/>
      <c r="K307" s="37"/>
      <c r="L307" s="47"/>
      <c r="M307" s="47"/>
      <c r="N307" s="263"/>
      <c r="O307" s="17"/>
      <c r="P307" s="18"/>
    </row>
    <row r="308" spans="1:16" ht="15.75" customHeight="1" x14ac:dyDescent="0.25">
      <c r="A308" s="18"/>
      <c r="B308" s="17"/>
      <c r="C308" s="17"/>
      <c r="D308" s="18"/>
      <c r="E308" s="18"/>
      <c r="F308" s="17"/>
      <c r="G308" s="18"/>
      <c r="H308" s="18"/>
      <c r="I308" s="18"/>
      <c r="J308" s="15"/>
      <c r="K308" s="37"/>
      <c r="L308" s="47"/>
      <c r="M308" s="47"/>
      <c r="N308" s="263"/>
      <c r="O308" s="17"/>
      <c r="P308" s="18"/>
    </row>
    <row r="309" spans="1:16" ht="15.75" customHeight="1" x14ac:dyDescent="0.25">
      <c r="A309" s="18"/>
      <c r="B309" s="17"/>
      <c r="C309" s="17"/>
      <c r="D309" s="18"/>
      <c r="E309" s="18"/>
      <c r="F309" s="17"/>
      <c r="G309" s="18"/>
      <c r="H309" s="18"/>
      <c r="I309" s="18"/>
      <c r="J309" s="15"/>
      <c r="K309" s="37"/>
      <c r="L309" s="47"/>
      <c r="M309" s="47"/>
      <c r="N309" s="263"/>
      <c r="O309" s="17"/>
      <c r="P309" s="18"/>
    </row>
    <row r="310" spans="1:16" ht="15.75" customHeight="1" x14ac:dyDescent="0.25">
      <c r="A310" s="18"/>
      <c r="B310" s="17"/>
      <c r="C310" s="17"/>
      <c r="D310" s="18"/>
      <c r="E310" s="18"/>
      <c r="F310" s="17"/>
      <c r="G310" s="18"/>
      <c r="H310" s="18"/>
      <c r="I310" s="18"/>
      <c r="J310" s="15"/>
      <c r="K310" s="37"/>
      <c r="L310" s="47"/>
      <c r="M310" s="47"/>
      <c r="N310" s="263"/>
      <c r="O310" s="17"/>
      <c r="P310" s="18"/>
    </row>
    <row r="311" spans="1:16" ht="15.75" customHeight="1" x14ac:dyDescent="0.25">
      <c r="A311" s="18"/>
      <c r="B311" s="17"/>
      <c r="C311" s="17"/>
      <c r="D311" s="18"/>
      <c r="E311" s="18"/>
      <c r="F311" s="17"/>
      <c r="G311" s="18"/>
      <c r="H311" s="18"/>
      <c r="I311" s="18"/>
      <c r="J311" s="15"/>
      <c r="K311" s="37"/>
      <c r="L311" s="47"/>
      <c r="M311" s="47"/>
      <c r="N311" s="263"/>
      <c r="O311" s="17"/>
      <c r="P311" s="18"/>
    </row>
    <row r="312" spans="1:16" ht="15.75" customHeight="1" x14ac:dyDescent="0.25">
      <c r="A312" s="18"/>
      <c r="B312" s="17"/>
      <c r="C312" s="17"/>
      <c r="D312" s="18"/>
      <c r="E312" s="18"/>
      <c r="F312" s="17"/>
      <c r="G312" s="18"/>
      <c r="H312" s="18"/>
      <c r="I312" s="18"/>
      <c r="J312" s="15"/>
      <c r="K312" s="37"/>
      <c r="L312" s="47"/>
      <c r="M312" s="47"/>
      <c r="N312" s="263"/>
      <c r="O312" s="17"/>
      <c r="P312" s="18"/>
    </row>
    <row r="313" spans="1:16" ht="15.75" customHeight="1" x14ac:dyDescent="0.25">
      <c r="A313" s="18"/>
      <c r="B313" s="17"/>
      <c r="C313" s="17"/>
      <c r="D313" s="18"/>
      <c r="E313" s="18"/>
      <c r="F313" s="17"/>
      <c r="G313" s="18"/>
      <c r="H313" s="18"/>
      <c r="I313" s="18"/>
      <c r="J313" s="15"/>
      <c r="K313" s="37"/>
      <c r="L313" s="47"/>
      <c r="M313" s="47"/>
      <c r="N313" s="263"/>
      <c r="O313" s="17"/>
      <c r="P313" s="18"/>
    </row>
    <row r="314" spans="1:16" ht="15.75" customHeight="1" x14ac:dyDescent="0.25">
      <c r="A314" s="18"/>
      <c r="B314" s="17"/>
      <c r="C314" s="17"/>
      <c r="D314" s="18"/>
      <c r="E314" s="18"/>
      <c r="F314" s="17"/>
      <c r="G314" s="18"/>
      <c r="H314" s="18"/>
      <c r="I314" s="18"/>
      <c r="J314" s="15"/>
      <c r="K314" s="37"/>
      <c r="L314" s="47"/>
      <c r="M314" s="47"/>
      <c r="N314" s="263"/>
      <c r="O314" s="17"/>
      <c r="P314" s="18"/>
    </row>
    <row r="315" spans="1:16" ht="15.75" customHeight="1" x14ac:dyDescent="0.25">
      <c r="A315" s="18"/>
      <c r="B315" s="17"/>
      <c r="C315" s="17"/>
      <c r="D315" s="18"/>
      <c r="E315" s="18"/>
      <c r="F315" s="17"/>
      <c r="G315" s="18"/>
      <c r="H315" s="18"/>
      <c r="I315" s="18"/>
      <c r="J315" s="15"/>
      <c r="K315" s="37"/>
      <c r="L315" s="47"/>
      <c r="M315" s="47"/>
      <c r="N315" s="263"/>
      <c r="O315" s="17"/>
      <c r="P315" s="18"/>
    </row>
    <row r="316" spans="1:16" ht="15.75" customHeight="1" x14ac:dyDescent="0.25">
      <c r="A316" s="18"/>
      <c r="B316" s="17"/>
      <c r="C316" s="17"/>
      <c r="D316" s="18"/>
      <c r="E316" s="18"/>
      <c r="F316" s="17"/>
      <c r="G316" s="18"/>
      <c r="H316" s="18"/>
      <c r="I316" s="18"/>
      <c r="J316" s="15"/>
      <c r="K316" s="37"/>
      <c r="L316" s="47"/>
      <c r="M316" s="47"/>
      <c r="N316" s="263"/>
      <c r="O316" s="17"/>
      <c r="P316" s="18"/>
    </row>
    <row r="317" spans="1:16" ht="15.75" customHeight="1" x14ac:dyDescent="0.25">
      <c r="A317" s="18"/>
      <c r="B317" s="17"/>
      <c r="C317" s="17"/>
      <c r="D317" s="18"/>
      <c r="E317" s="18"/>
      <c r="F317" s="17"/>
      <c r="G317" s="18"/>
      <c r="H317" s="18"/>
      <c r="I317" s="18"/>
      <c r="J317" s="15"/>
      <c r="K317" s="37"/>
      <c r="L317" s="47"/>
      <c r="M317" s="47"/>
      <c r="N317" s="263"/>
      <c r="O317" s="17"/>
      <c r="P317" s="18"/>
    </row>
    <row r="318" spans="1:16" ht="15.75" customHeight="1" x14ac:dyDescent="0.25">
      <c r="A318" s="18"/>
      <c r="B318" s="17"/>
      <c r="C318" s="17"/>
      <c r="D318" s="18"/>
      <c r="E318" s="18"/>
      <c r="F318" s="17"/>
      <c r="G318" s="18"/>
      <c r="H318" s="18"/>
      <c r="I318" s="18"/>
      <c r="J318" s="15"/>
      <c r="K318" s="37"/>
      <c r="L318" s="47"/>
      <c r="M318" s="47"/>
      <c r="N318" s="263"/>
      <c r="O318" s="17"/>
      <c r="P318" s="18"/>
    </row>
    <row r="319" spans="1:16" ht="15.75" customHeight="1" x14ac:dyDescent="0.25">
      <c r="A319" s="18"/>
      <c r="B319" s="17"/>
      <c r="C319" s="17"/>
      <c r="D319" s="18"/>
      <c r="E319" s="18"/>
      <c r="F319" s="17"/>
      <c r="G319" s="18"/>
      <c r="H319" s="18"/>
      <c r="I319" s="18"/>
      <c r="J319" s="15"/>
      <c r="K319" s="37"/>
      <c r="L319" s="47"/>
      <c r="M319" s="47"/>
      <c r="N319" s="263"/>
      <c r="O319" s="17"/>
      <c r="P319" s="18"/>
    </row>
    <row r="320" spans="1:16" ht="15.75" customHeight="1" x14ac:dyDescent="0.25">
      <c r="A320" s="18"/>
      <c r="B320" s="17"/>
      <c r="C320" s="17"/>
      <c r="D320" s="18"/>
      <c r="E320" s="18"/>
      <c r="F320" s="17"/>
      <c r="G320" s="18"/>
      <c r="H320" s="18"/>
      <c r="I320" s="18"/>
      <c r="J320" s="15"/>
      <c r="K320" s="37"/>
      <c r="L320" s="47"/>
      <c r="M320" s="47"/>
      <c r="N320" s="263"/>
      <c r="O320" s="17"/>
      <c r="P320" s="18"/>
    </row>
    <row r="321" spans="1:16" ht="15.75" customHeight="1" x14ac:dyDescent="0.25">
      <c r="A321" s="18"/>
      <c r="B321" s="17"/>
      <c r="C321" s="17"/>
      <c r="D321" s="18"/>
      <c r="E321" s="18"/>
      <c r="F321" s="17"/>
      <c r="G321" s="18"/>
      <c r="H321" s="18"/>
      <c r="I321" s="18"/>
      <c r="J321" s="15"/>
      <c r="K321" s="37"/>
      <c r="L321" s="47"/>
      <c r="M321" s="47"/>
      <c r="N321" s="263"/>
      <c r="O321" s="17"/>
      <c r="P321" s="18"/>
    </row>
    <row r="322" spans="1:16" ht="15.75" customHeight="1" x14ac:dyDescent="0.25">
      <c r="A322" s="18"/>
      <c r="B322" s="17"/>
      <c r="C322" s="17"/>
      <c r="D322" s="18"/>
      <c r="E322" s="18"/>
      <c r="F322" s="17"/>
      <c r="G322" s="18"/>
      <c r="H322" s="18"/>
      <c r="I322" s="18"/>
      <c r="J322" s="15"/>
      <c r="K322" s="37"/>
      <c r="L322" s="47"/>
      <c r="M322" s="47"/>
      <c r="N322" s="263"/>
      <c r="O322" s="17"/>
      <c r="P322" s="18"/>
    </row>
    <row r="323" spans="1:16" ht="15.75" customHeight="1" x14ac:dyDescent="0.25">
      <c r="A323" s="18"/>
      <c r="B323" s="17"/>
      <c r="C323" s="17"/>
      <c r="D323" s="18"/>
      <c r="E323" s="18"/>
      <c r="F323" s="17"/>
      <c r="G323" s="18"/>
      <c r="H323" s="18"/>
      <c r="I323" s="18"/>
      <c r="J323" s="15"/>
      <c r="K323" s="37"/>
      <c r="L323" s="47"/>
      <c r="M323" s="47"/>
      <c r="N323" s="263"/>
      <c r="O323" s="17"/>
      <c r="P323" s="18"/>
    </row>
    <row r="324" spans="1:16" ht="15.75" customHeight="1" x14ac:dyDescent="0.25">
      <c r="A324" s="18"/>
      <c r="B324" s="17"/>
      <c r="C324" s="17"/>
      <c r="D324" s="18"/>
      <c r="E324" s="18"/>
      <c r="F324" s="17"/>
      <c r="G324" s="18"/>
      <c r="H324" s="18"/>
      <c r="I324" s="18"/>
      <c r="J324" s="15"/>
      <c r="K324" s="37"/>
      <c r="L324" s="47"/>
      <c r="M324" s="47"/>
      <c r="N324" s="263"/>
      <c r="O324" s="17"/>
      <c r="P324" s="18"/>
    </row>
    <row r="325" spans="1:16" ht="15.75" customHeight="1" x14ac:dyDescent="0.25">
      <c r="A325" s="18"/>
      <c r="B325" s="17"/>
      <c r="C325" s="17"/>
      <c r="D325" s="18"/>
      <c r="E325" s="18"/>
      <c r="F325" s="17"/>
      <c r="G325" s="18"/>
      <c r="H325" s="18"/>
      <c r="I325" s="18"/>
      <c r="J325" s="15"/>
      <c r="K325" s="37"/>
      <c r="L325" s="47"/>
      <c r="M325" s="47"/>
      <c r="N325" s="263"/>
      <c r="O325" s="17"/>
      <c r="P325" s="18"/>
    </row>
    <row r="326" spans="1:16" ht="15.75" customHeight="1" x14ac:dyDescent="0.25">
      <c r="A326" s="18"/>
      <c r="B326" s="17"/>
      <c r="C326" s="17"/>
      <c r="D326" s="18"/>
      <c r="E326" s="18"/>
      <c r="F326" s="17"/>
      <c r="G326" s="18"/>
      <c r="H326" s="18"/>
      <c r="I326" s="18"/>
      <c r="J326" s="15"/>
      <c r="K326" s="37"/>
      <c r="L326" s="47"/>
      <c r="M326" s="47"/>
      <c r="N326" s="263"/>
      <c r="O326" s="17"/>
      <c r="P326" s="18"/>
    </row>
    <row r="327" spans="1:16" ht="15.75" customHeight="1" x14ac:dyDescent="0.25">
      <c r="A327" s="18"/>
      <c r="B327" s="17"/>
      <c r="C327" s="17"/>
      <c r="D327" s="18"/>
      <c r="E327" s="18"/>
      <c r="F327" s="17"/>
      <c r="G327" s="18"/>
      <c r="H327" s="18"/>
      <c r="I327" s="18"/>
      <c r="J327" s="15"/>
      <c r="K327" s="37"/>
      <c r="L327" s="47"/>
      <c r="M327" s="47"/>
      <c r="N327" s="263"/>
      <c r="O327" s="17"/>
      <c r="P327" s="18"/>
    </row>
    <row r="328" spans="1:16" ht="15.75" customHeight="1" x14ac:dyDescent="0.25">
      <c r="A328" s="18"/>
      <c r="B328" s="17"/>
      <c r="C328" s="17"/>
      <c r="D328" s="18"/>
      <c r="E328" s="18"/>
      <c r="F328" s="17"/>
      <c r="G328" s="18"/>
      <c r="H328" s="18"/>
      <c r="I328" s="18"/>
      <c r="J328" s="15"/>
      <c r="K328" s="37"/>
      <c r="L328" s="47"/>
      <c r="M328" s="47"/>
      <c r="N328" s="263"/>
      <c r="O328" s="17"/>
      <c r="P328" s="18"/>
    </row>
    <row r="329" spans="1:16" ht="15.75" customHeight="1" x14ac:dyDescent="0.25">
      <c r="A329" s="18"/>
      <c r="B329" s="17"/>
      <c r="C329" s="17"/>
      <c r="D329" s="18"/>
      <c r="E329" s="18"/>
      <c r="F329" s="17"/>
      <c r="G329" s="18"/>
      <c r="H329" s="18"/>
      <c r="I329" s="18"/>
      <c r="J329" s="15"/>
      <c r="K329" s="37"/>
      <c r="L329" s="47"/>
      <c r="M329" s="47"/>
      <c r="N329" s="263"/>
      <c r="O329" s="17"/>
      <c r="P329" s="18"/>
    </row>
    <row r="330" spans="1:16" ht="15.75" customHeight="1" x14ac:dyDescent="0.25">
      <c r="A330" s="18"/>
      <c r="B330" s="17"/>
      <c r="C330" s="17"/>
      <c r="D330" s="18"/>
      <c r="E330" s="18"/>
      <c r="F330" s="17"/>
      <c r="G330" s="18"/>
      <c r="H330" s="18"/>
      <c r="I330" s="18"/>
      <c r="J330" s="15"/>
      <c r="K330" s="37"/>
      <c r="L330" s="47"/>
      <c r="M330" s="47"/>
      <c r="N330" s="263"/>
      <c r="O330" s="17"/>
      <c r="P330" s="18"/>
    </row>
    <row r="331" spans="1:16" ht="15.75" customHeight="1" x14ac:dyDescent="0.25">
      <c r="A331" s="18"/>
      <c r="B331" s="17"/>
      <c r="C331" s="17"/>
      <c r="D331" s="18"/>
      <c r="E331" s="18"/>
      <c r="F331" s="17"/>
      <c r="G331" s="18"/>
      <c r="H331" s="18"/>
      <c r="I331" s="18"/>
      <c r="J331" s="15"/>
      <c r="K331" s="37"/>
      <c r="L331" s="47"/>
      <c r="M331" s="47"/>
      <c r="N331" s="263"/>
      <c r="O331" s="17"/>
      <c r="P331" s="18"/>
    </row>
    <row r="332" spans="1:16" ht="15.75" customHeight="1" x14ac:dyDescent="0.25">
      <c r="A332" s="18"/>
      <c r="B332" s="17"/>
      <c r="C332" s="17"/>
      <c r="D332" s="18"/>
      <c r="E332" s="18"/>
      <c r="F332" s="17"/>
      <c r="G332" s="18"/>
      <c r="H332" s="18"/>
      <c r="I332" s="18"/>
      <c r="J332" s="15"/>
      <c r="K332" s="37"/>
      <c r="L332" s="47"/>
      <c r="M332" s="47"/>
      <c r="N332" s="263"/>
      <c r="O332" s="17"/>
      <c r="P332" s="18"/>
    </row>
    <row r="333" spans="1:16" ht="15.75" customHeight="1" x14ac:dyDescent="0.25">
      <c r="A333" s="18"/>
      <c r="B333" s="17"/>
      <c r="C333" s="17"/>
      <c r="D333" s="18"/>
      <c r="E333" s="18"/>
      <c r="F333" s="17"/>
      <c r="G333" s="18"/>
      <c r="H333" s="18"/>
      <c r="I333" s="18"/>
      <c r="J333" s="15"/>
      <c r="K333" s="37"/>
      <c r="L333" s="47"/>
      <c r="M333" s="47"/>
      <c r="N333" s="263"/>
      <c r="O333" s="17"/>
      <c r="P333" s="18"/>
    </row>
    <row r="334" spans="1:16" ht="15.75" customHeight="1" x14ac:dyDescent="0.25">
      <c r="A334" s="18"/>
      <c r="B334" s="17"/>
      <c r="C334" s="17"/>
      <c r="D334" s="18"/>
      <c r="E334" s="18"/>
      <c r="F334" s="17"/>
      <c r="G334" s="18"/>
      <c r="H334" s="18"/>
      <c r="I334" s="18"/>
      <c r="J334" s="15"/>
      <c r="K334" s="37"/>
      <c r="L334" s="47"/>
      <c r="M334" s="47"/>
      <c r="N334" s="263"/>
      <c r="O334" s="17"/>
      <c r="P334" s="18"/>
    </row>
    <row r="335" spans="1:16" ht="15.75" customHeight="1" x14ac:dyDescent="0.25">
      <c r="A335" s="18"/>
      <c r="B335" s="17"/>
      <c r="C335" s="17"/>
      <c r="D335" s="18"/>
      <c r="E335" s="18"/>
      <c r="F335" s="17"/>
      <c r="G335" s="18"/>
      <c r="H335" s="18"/>
      <c r="I335" s="18"/>
      <c r="J335" s="15"/>
      <c r="K335" s="37"/>
      <c r="L335" s="47"/>
      <c r="M335" s="47"/>
      <c r="N335" s="263"/>
      <c r="O335" s="17"/>
      <c r="P335" s="18"/>
    </row>
    <row r="336" spans="1:16" ht="15.75" customHeight="1" x14ac:dyDescent="0.25">
      <c r="A336" s="18"/>
      <c r="B336" s="17"/>
      <c r="C336" s="17"/>
      <c r="D336" s="18"/>
      <c r="E336" s="18"/>
      <c r="F336" s="17"/>
      <c r="G336" s="18"/>
      <c r="H336" s="18"/>
      <c r="I336" s="18"/>
      <c r="J336" s="15"/>
      <c r="K336" s="37"/>
      <c r="L336" s="47"/>
      <c r="M336" s="47"/>
      <c r="N336" s="263"/>
      <c r="O336" s="17"/>
      <c r="P336" s="18"/>
    </row>
    <row r="337" spans="1:16" ht="15.75" customHeight="1" x14ac:dyDescent="0.25">
      <c r="A337" s="18"/>
      <c r="B337" s="17"/>
      <c r="C337" s="17"/>
      <c r="D337" s="18"/>
      <c r="E337" s="18"/>
      <c r="F337" s="17"/>
      <c r="G337" s="18"/>
      <c r="H337" s="18"/>
      <c r="I337" s="18"/>
      <c r="J337" s="15"/>
      <c r="K337" s="37"/>
      <c r="L337" s="47"/>
      <c r="M337" s="47"/>
      <c r="N337" s="263"/>
      <c r="O337" s="17"/>
      <c r="P337" s="18"/>
    </row>
    <row r="338" spans="1:16" ht="15.75" customHeight="1" x14ac:dyDescent="0.25">
      <c r="A338" s="18"/>
      <c r="B338" s="17"/>
      <c r="C338" s="17"/>
      <c r="D338" s="18"/>
      <c r="E338" s="18"/>
      <c r="F338" s="17"/>
      <c r="G338" s="18"/>
      <c r="H338" s="18"/>
      <c r="I338" s="18"/>
      <c r="J338" s="15"/>
      <c r="K338" s="37"/>
      <c r="L338" s="47"/>
      <c r="M338" s="47"/>
      <c r="N338" s="263"/>
      <c r="O338" s="17"/>
      <c r="P338" s="18"/>
    </row>
    <row r="339" spans="1:16" ht="15.75" customHeight="1" x14ac:dyDescent="0.25">
      <c r="A339" s="18"/>
      <c r="B339" s="17"/>
      <c r="C339" s="17"/>
      <c r="D339" s="18"/>
      <c r="E339" s="18"/>
      <c r="F339" s="17"/>
      <c r="G339" s="18"/>
      <c r="H339" s="18"/>
      <c r="I339" s="18"/>
      <c r="J339" s="15"/>
      <c r="K339" s="37"/>
      <c r="L339" s="47"/>
      <c r="M339" s="47"/>
      <c r="N339" s="263"/>
      <c r="O339" s="17"/>
      <c r="P339" s="18"/>
    </row>
    <row r="340" spans="1:16" ht="15.75" customHeight="1" x14ac:dyDescent="0.25">
      <c r="A340" s="18"/>
      <c r="B340" s="17"/>
      <c r="C340" s="17"/>
      <c r="D340" s="18"/>
      <c r="E340" s="18"/>
      <c r="F340" s="17"/>
      <c r="G340" s="18"/>
      <c r="H340" s="18"/>
      <c r="I340" s="18"/>
      <c r="J340" s="15"/>
      <c r="K340" s="37"/>
      <c r="L340" s="47"/>
      <c r="M340" s="47"/>
      <c r="N340" s="263"/>
      <c r="O340" s="17"/>
      <c r="P340" s="18"/>
    </row>
    <row r="341" spans="1:16" ht="15.75" customHeight="1" x14ac:dyDescent="0.25">
      <c r="A341" s="18"/>
      <c r="B341" s="17"/>
      <c r="C341" s="17"/>
      <c r="D341" s="18"/>
      <c r="E341" s="18"/>
      <c r="F341" s="17"/>
      <c r="G341" s="18"/>
      <c r="H341" s="18"/>
      <c r="I341" s="18"/>
      <c r="J341" s="15"/>
      <c r="K341" s="37"/>
      <c r="L341" s="47"/>
      <c r="M341" s="47"/>
      <c r="N341" s="263"/>
      <c r="O341" s="17"/>
      <c r="P341" s="18"/>
    </row>
    <row r="342" spans="1:16" ht="15.75" customHeight="1" x14ac:dyDescent="0.25">
      <c r="A342" s="18"/>
      <c r="B342" s="17"/>
      <c r="C342" s="17"/>
      <c r="D342" s="18"/>
      <c r="E342" s="18"/>
      <c r="F342" s="17"/>
      <c r="G342" s="18"/>
      <c r="H342" s="18"/>
      <c r="I342" s="18"/>
      <c r="J342" s="15"/>
      <c r="K342" s="37"/>
      <c r="L342" s="47"/>
      <c r="M342" s="47"/>
      <c r="N342" s="263"/>
      <c r="O342" s="17"/>
      <c r="P342" s="18"/>
    </row>
    <row r="343" spans="1:16" ht="15.75" customHeight="1" x14ac:dyDescent="0.25">
      <c r="A343" s="18"/>
      <c r="B343" s="17"/>
      <c r="C343" s="17"/>
      <c r="D343" s="18"/>
      <c r="E343" s="18"/>
      <c r="F343" s="17"/>
      <c r="G343" s="18"/>
      <c r="H343" s="18"/>
      <c r="I343" s="18"/>
      <c r="J343" s="15"/>
      <c r="K343" s="37"/>
      <c r="L343" s="47"/>
      <c r="M343" s="47"/>
      <c r="N343" s="263"/>
      <c r="O343" s="17"/>
      <c r="P343" s="18"/>
    </row>
    <row r="344" spans="1:16" ht="15.75" customHeight="1" x14ac:dyDescent="0.25">
      <c r="A344" s="18"/>
      <c r="B344" s="17"/>
      <c r="C344" s="17"/>
      <c r="D344" s="18"/>
      <c r="E344" s="18"/>
      <c r="F344" s="17"/>
      <c r="G344" s="18"/>
      <c r="H344" s="18"/>
      <c r="I344" s="18"/>
      <c r="J344" s="15"/>
      <c r="K344" s="37"/>
      <c r="L344" s="47"/>
      <c r="M344" s="47"/>
      <c r="N344" s="263"/>
      <c r="O344" s="17"/>
      <c r="P344" s="18"/>
    </row>
    <row r="345" spans="1:16" ht="15.75" customHeight="1" x14ac:dyDescent="0.25">
      <c r="A345" s="18"/>
      <c r="B345" s="17"/>
      <c r="C345" s="17"/>
      <c r="D345" s="18"/>
      <c r="E345" s="18"/>
      <c r="F345" s="17"/>
      <c r="G345" s="18"/>
      <c r="H345" s="18"/>
      <c r="I345" s="18"/>
      <c r="J345" s="15"/>
      <c r="K345" s="37"/>
      <c r="L345" s="47"/>
      <c r="M345" s="47"/>
      <c r="N345" s="263"/>
      <c r="O345" s="17"/>
      <c r="P345" s="18"/>
    </row>
    <row r="346" spans="1:16" ht="15.75" customHeight="1" x14ac:dyDescent="0.25">
      <c r="A346" s="18"/>
      <c r="B346" s="17"/>
      <c r="C346" s="17"/>
      <c r="D346" s="18"/>
      <c r="E346" s="18"/>
      <c r="F346" s="17"/>
      <c r="G346" s="18"/>
      <c r="H346" s="18"/>
      <c r="I346" s="18"/>
      <c r="J346" s="15"/>
      <c r="K346" s="37"/>
      <c r="L346" s="47"/>
      <c r="M346" s="47"/>
      <c r="N346" s="263"/>
      <c r="O346" s="17"/>
      <c r="P346" s="18"/>
    </row>
    <row r="347" spans="1:16" ht="15.75" customHeight="1" x14ac:dyDescent="0.25">
      <c r="A347" s="18"/>
      <c r="B347" s="17"/>
      <c r="C347" s="17"/>
      <c r="D347" s="18"/>
      <c r="E347" s="18"/>
      <c r="F347" s="17"/>
      <c r="G347" s="18"/>
      <c r="H347" s="18"/>
      <c r="I347" s="18"/>
      <c r="J347" s="15"/>
      <c r="K347" s="37"/>
      <c r="L347" s="47"/>
      <c r="M347" s="47"/>
      <c r="N347" s="263"/>
      <c r="O347" s="17"/>
      <c r="P347" s="18"/>
    </row>
    <row r="348" spans="1:16" ht="15.75" customHeight="1" x14ac:dyDescent="0.25">
      <c r="A348" s="18"/>
      <c r="B348" s="17"/>
      <c r="C348" s="17"/>
      <c r="D348" s="18"/>
      <c r="E348" s="18"/>
      <c r="F348" s="17"/>
      <c r="G348" s="18"/>
      <c r="H348" s="18"/>
      <c r="I348" s="18"/>
      <c r="J348" s="15"/>
      <c r="K348" s="37"/>
      <c r="L348" s="47"/>
      <c r="M348" s="47"/>
      <c r="N348" s="263"/>
      <c r="O348" s="17"/>
      <c r="P348" s="18"/>
    </row>
    <row r="349" spans="1:16" ht="15.75" customHeight="1" x14ac:dyDescent="0.25">
      <c r="A349" s="18"/>
      <c r="B349" s="17"/>
      <c r="C349" s="17"/>
      <c r="D349" s="18"/>
      <c r="E349" s="18"/>
      <c r="F349" s="17"/>
      <c r="G349" s="18"/>
      <c r="H349" s="18"/>
      <c r="I349" s="18"/>
      <c r="J349" s="15"/>
      <c r="K349" s="37"/>
      <c r="L349" s="47"/>
      <c r="M349" s="47"/>
      <c r="N349" s="263"/>
      <c r="O349" s="17"/>
      <c r="P349" s="18"/>
    </row>
    <row r="350" spans="1:16" ht="15.75" customHeight="1" x14ac:dyDescent="0.25">
      <c r="A350" s="18"/>
      <c r="B350" s="17"/>
      <c r="C350" s="17"/>
      <c r="D350" s="18"/>
      <c r="E350" s="18"/>
      <c r="F350" s="17"/>
      <c r="G350" s="18"/>
      <c r="H350" s="18"/>
      <c r="I350" s="18"/>
      <c r="J350" s="15"/>
      <c r="K350" s="37"/>
      <c r="L350" s="47"/>
      <c r="M350" s="47"/>
      <c r="N350" s="263"/>
      <c r="O350" s="17"/>
      <c r="P350" s="18"/>
    </row>
    <row r="351" spans="1:16" ht="15.75" customHeight="1" x14ac:dyDescent="0.25">
      <c r="A351" s="18"/>
      <c r="B351" s="17"/>
      <c r="C351" s="17"/>
      <c r="D351" s="18"/>
      <c r="E351" s="18"/>
      <c r="F351" s="17"/>
      <c r="G351" s="18"/>
      <c r="H351" s="18"/>
      <c r="I351" s="18"/>
      <c r="J351" s="15"/>
      <c r="K351" s="37"/>
      <c r="L351" s="47"/>
      <c r="M351" s="47"/>
      <c r="N351" s="263"/>
      <c r="O351" s="17"/>
      <c r="P351" s="18"/>
    </row>
    <row r="352" spans="1:16" ht="15.75" customHeight="1" x14ac:dyDescent="0.25">
      <c r="A352" s="18"/>
      <c r="B352" s="17"/>
      <c r="C352" s="17"/>
      <c r="D352" s="18"/>
      <c r="E352" s="18"/>
      <c r="F352" s="17"/>
      <c r="G352" s="18"/>
      <c r="H352" s="18"/>
      <c r="I352" s="18"/>
      <c r="J352" s="15"/>
      <c r="K352" s="37"/>
      <c r="L352" s="47"/>
      <c r="M352" s="47"/>
      <c r="N352" s="263"/>
      <c r="O352" s="17"/>
      <c r="P352" s="18"/>
    </row>
    <row r="353" spans="1:16" ht="15.75" customHeight="1" x14ac:dyDescent="0.25">
      <c r="A353" s="18"/>
      <c r="B353" s="17"/>
      <c r="C353" s="17"/>
      <c r="D353" s="18"/>
      <c r="E353" s="18"/>
      <c r="F353" s="17"/>
      <c r="G353" s="18"/>
      <c r="H353" s="18"/>
      <c r="I353" s="18"/>
      <c r="J353" s="15"/>
      <c r="K353" s="37"/>
      <c r="L353" s="47"/>
      <c r="M353" s="47"/>
      <c r="N353" s="263"/>
      <c r="O353" s="17"/>
      <c r="P353" s="18"/>
    </row>
    <row r="354" spans="1:16" ht="15.75" customHeight="1" x14ac:dyDescent="0.25">
      <c r="A354" s="18"/>
      <c r="B354" s="17"/>
      <c r="C354" s="17"/>
      <c r="D354" s="18"/>
      <c r="E354" s="18"/>
      <c r="F354" s="17"/>
      <c r="G354" s="18"/>
      <c r="H354" s="18"/>
      <c r="I354" s="18"/>
      <c r="J354" s="15"/>
      <c r="K354" s="37"/>
      <c r="L354" s="47"/>
      <c r="M354" s="47"/>
      <c r="N354" s="263"/>
      <c r="O354" s="17"/>
      <c r="P354" s="18"/>
    </row>
    <row r="355" spans="1:16" ht="15.75" customHeight="1" x14ac:dyDescent="0.25">
      <c r="A355" s="18"/>
      <c r="B355" s="17"/>
      <c r="C355" s="17"/>
      <c r="D355" s="18"/>
      <c r="E355" s="18"/>
      <c r="F355" s="17"/>
      <c r="G355" s="18"/>
      <c r="H355" s="18"/>
      <c r="I355" s="18"/>
      <c r="J355" s="15"/>
      <c r="K355" s="37"/>
      <c r="L355" s="47"/>
      <c r="M355" s="47"/>
      <c r="N355" s="263"/>
      <c r="O355" s="17"/>
      <c r="P355" s="18"/>
    </row>
    <row r="356" spans="1:16" ht="15.75" customHeight="1" x14ac:dyDescent="0.25">
      <c r="A356" s="18"/>
      <c r="B356" s="17"/>
      <c r="C356" s="17"/>
      <c r="D356" s="18"/>
      <c r="E356" s="18"/>
      <c r="F356" s="17"/>
      <c r="G356" s="18"/>
      <c r="H356" s="18"/>
      <c r="I356" s="18"/>
      <c r="J356" s="15"/>
      <c r="K356" s="37"/>
      <c r="L356" s="47"/>
      <c r="M356" s="47"/>
      <c r="N356" s="263"/>
      <c r="O356" s="17"/>
      <c r="P356" s="18"/>
    </row>
    <row r="357" spans="1:16" ht="15.75" customHeight="1" x14ac:dyDescent="0.25">
      <c r="A357" s="18"/>
      <c r="B357" s="17"/>
      <c r="C357" s="17"/>
      <c r="D357" s="18"/>
      <c r="E357" s="18"/>
      <c r="F357" s="17"/>
      <c r="G357" s="18"/>
      <c r="H357" s="18"/>
      <c r="I357" s="18"/>
      <c r="J357" s="15"/>
      <c r="K357" s="37"/>
      <c r="L357" s="47"/>
      <c r="M357" s="47"/>
      <c r="N357" s="263"/>
      <c r="O357" s="17"/>
      <c r="P357" s="18"/>
    </row>
    <row r="358" spans="1:16" ht="15.75" customHeight="1" x14ac:dyDescent="0.25">
      <c r="A358" s="18"/>
      <c r="B358" s="17"/>
      <c r="C358" s="17"/>
      <c r="D358" s="18"/>
      <c r="E358" s="18"/>
      <c r="F358" s="17"/>
      <c r="G358" s="18"/>
      <c r="H358" s="18"/>
      <c r="I358" s="18"/>
      <c r="J358" s="15"/>
      <c r="K358" s="37"/>
      <c r="L358" s="47"/>
      <c r="M358" s="47"/>
      <c r="N358" s="263"/>
      <c r="O358" s="17"/>
      <c r="P358" s="18"/>
    </row>
    <row r="359" spans="1:16" ht="15.75" customHeight="1" x14ac:dyDescent="0.25">
      <c r="A359" s="18"/>
      <c r="B359" s="17"/>
      <c r="C359" s="17"/>
      <c r="D359" s="18"/>
      <c r="E359" s="18"/>
      <c r="F359" s="17"/>
      <c r="G359" s="18"/>
      <c r="H359" s="18"/>
      <c r="I359" s="18"/>
      <c r="J359" s="15"/>
      <c r="K359" s="37"/>
      <c r="L359" s="47"/>
      <c r="M359" s="47"/>
      <c r="N359" s="263"/>
      <c r="O359" s="17"/>
      <c r="P359" s="18"/>
    </row>
    <row r="360" spans="1:16" ht="15.75" customHeight="1" x14ac:dyDescent="0.25">
      <c r="A360" s="18"/>
      <c r="B360" s="17"/>
      <c r="C360" s="17"/>
      <c r="D360" s="18"/>
      <c r="E360" s="18"/>
      <c r="F360" s="17"/>
      <c r="G360" s="18"/>
      <c r="H360" s="18"/>
      <c r="I360" s="18"/>
      <c r="J360" s="15"/>
      <c r="K360" s="37"/>
      <c r="L360" s="47"/>
      <c r="M360" s="47"/>
      <c r="N360" s="263"/>
      <c r="O360" s="17"/>
      <c r="P360" s="18"/>
    </row>
    <row r="361" spans="1:16" ht="15.75" customHeight="1" x14ac:dyDescent="0.25">
      <c r="A361" s="18"/>
      <c r="B361" s="17"/>
      <c r="C361" s="17"/>
      <c r="D361" s="18"/>
      <c r="E361" s="18"/>
      <c r="F361" s="17"/>
      <c r="G361" s="18"/>
      <c r="H361" s="18"/>
      <c r="I361" s="18"/>
      <c r="J361" s="15"/>
      <c r="K361" s="37"/>
      <c r="L361" s="47"/>
      <c r="M361" s="47"/>
      <c r="N361" s="263"/>
      <c r="O361" s="17"/>
      <c r="P361" s="18"/>
    </row>
    <row r="362" spans="1:16" ht="15.75" customHeight="1" x14ac:dyDescent="0.25">
      <c r="A362" s="18"/>
      <c r="B362" s="17"/>
      <c r="C362" s="17"/>
      <c r="D362" s="18"/>
      <c r="E362" s="18"/>
      <c r="F362" s="17"/>
      <c r="G362" s="18"/>
      <c r="H362" s="18"/>
      <c r="I362" s="18"/>
      <c r="J362" s="15"/>
      <c r="K362" s="37"/>
      <c r="L362" s="47"/>
      <c r="M362" s="47"/>
      <c r="N362" s="263"/>
      <c r="O362" s="17"/>
      <c r="P362" s="18"/>
    </row>
    <row r="363" spans="1:16" ht="15.75" customHeight="1" x14ac:dyDescent="0.25">
      <c r="A363" s="18"/>
      <c r="B363" s="17"/>
      <c r="C363" s="17"/>
      <c r="D363" s="18"/>
      <c r="E363" s="18"/>
      <c r="F363" s="17"/>
      <c r="G363" s="18"/>
      <c r="H363" s="18"/>
      <c r="I363" s="18"/>
      <c r="J363" s="15"/>
      <c r="K363" s="37"/>
      <c r="L363" s="47"/>
      <c r="M363" s="47"/>
      <c r="N363" s="263"/>
      <c r="O363" s="17"/>
      <c r="P363" s="18"/>
    </row>
    <row r="364" spans="1:16" ht="15.75" customHeight="1" x14ac:dyDescent="0.25">
      <c r="A364" s="18"/>
      <c r="B364" s="17"/>
      <c r="C364" s="17"/>
      <c r="D364" s="18"/>
      <c r="E364" s="18"/>
      <c r="F364" s="17"/>
      <c r="G364" s="18"/>
      <c r="H364" s="18"/>
      <c r="I364" s="18"/>
      <c r="J364" s="15"/>
      <c r="K364" s="37"/>
      <c r="L364" s="47"/>
      <c r="M364" s="47"/>
      <c r="N364" s="263"/>
      <c r="O364" s="17"/>
      <c r="P364" s="18"/>
    </row>
    <row r="365" spans="1:16" ht="15.75" customHeight="1" x14ac:dyDescent="0.25">
      <c r="A365" s="18"/>
      <c r="B365" s="17"/>
      <c r="C365" s="17"/>
      <c r="D365" s="18"/>
      <c r="E365" s="18"/>
      <c r="F365" s="17"/>
      <c r="G365" s="18"/>
      <c r="H365" s="18"/>
      <c r="I365" s="18"/>
      <c r="J365" s="15"/>
      <c r="K365" s="37"/>
      <c r="L365" s="47"/>
      <c r="M365" s="47"/>
      <c r="N365" s="263"/>
      <c r="O365" s="17"/>
      <c r="P365" s="18"/>
    </row>
    <row r="366" spans="1:16" ht="15.75" customHeight="1" x14ac:dyDescent="0.25">
      <c r="A366" s="18"/>
      <c r="B366" s="17"/>
      <c r="C366" s="17"/>
      <c r="D366" s="18"/>
      <c r="E366" s="18"/>
      <c r="F366" s="17"/>
      <c r="G366" s="18"/>
      <c r="H366" s="18"/>
      <c r="I366" s="18"/>
      <c r="J366" s="15"/>
      <c r="K366" s="37"/>
      <c r="L366" s="47"/>
      <c r="M366" s="47"/>
      <c r="N366" s="263"/>
      <c r="O366" s="17"/>
      <c r="P366" s="18"/>
    </row>
    <row r="367" spans="1:16" ht="15.75" customHeight="1" x14ac:dyDescent="0.25">
      <c r="A367" s="18"/>
      <c r="B367" s="17"/>
      <c r="C367" s="17"/>
      <c r="D367" s="18"/>
      <c r="E367" s="18"/>
      <c r="F367" s="17"/>
      <c r="G367" s="18"/>
      <c r="H367" s="18"/>
      <c r="I367" s="18"/>
      <c r="J367" s="15"/>
      <c r="K367" s="37"/>
      <c r="L367" s="47"/>
      <c r="M367" s="47"/>
      <c r="N367" s="263"/>
      <c r="O367" s="17"/>
      <c r="P367" s="18"/>
    </row>
    <row r="368" spans="1:16" ht="15.75" customHeight="1" x14ac:dyDescent="0.25">
      <c r="A368" s="18"/>
      <c r="B368" s="17"/>
      <c r="C368" s="17"/>
      <c r="D368" s="18"/>
      <c r="E368" s="18"/>
      <c r="F368" s="17"/>
      <c r="G368" s="18"/>
      <c r="H368" s="18"/>
      <c r="I368" s="18"/>
      <c r="J368" s="15"/>
      <c r="K368" s="37"/>
      <c r="L368" s="47"/>
      <c r="M368" s="47"/>
      <c r="N368" s="263"/>
      <c r="O368" s="17"/>
      <c r="P368" s="18"/>
    </row>
    <row r="369" spans="1:16" ht="15.75" customHeight="1" x14ac:dyDescent="0.25">
      <c r="A369" s="18"/>
      <c r="B369" s="17"/>
      <c r="C369" s="17"/>
      <c r="D369" s="18"/>
      <c r="E369" s="18"/>
      <c r="F369" s="17"/>
      <c r="G369" s="18"/>
      <c r="H369" s="18"/>
      <c r="I369" s="18"/>
      <c r="J369" s="15"/>
      <c r="K369" s="37"/>
      <c r="L369" s="47"/>
      <c r="M369" s="47"/>
      <c r="N369" s="263"/>
      <c r="O369" s="17"/>
      <c r="P369" s="18"/>
    </row>
    <row r="370" spans="1:16" ht="15.75" customHeight="1" x14ac:dyDescent="0.25">
      <c r="A370" s="18"/>
      <c r="B370" s="17"/>
      <c r="C370" s="17"/>
      <c r="D370" s="18"/>
      <c r="E370" s="18"/>
      <c r="F370" s="17"/>
      <c r="G370" s="18"/>
      <c r="H370" s="18"/>
      <c r="I370" s="18"/>
      <c r="J370" s="15"/>
      <c r="K370" s="37"/>
      <c r="L370" s="47"/>
      <c r="M370" s="47"/>
      <c r="N370" s="263"/>
      <c r="O370" s="17"/>
      <c r="P370" s="18"/>
    </row>
    <row r="371" spans="1:16" ht="15.75" customHeight="1" x14ac:dyDescent="0.25">
      <c r="A371" s="18"/>
      <c r="B371" s="17"/>
      <c r="C371" s="17"/>
      <c r="D371" s="18"/>
      <c r="E371" s="18"/>
      <c r="F371" s="17"/>
      <c r="G371" s="18"/>
      <c r="H371" s="18"/>
      <c r="I371" s="18"/>
      <c r="J371" s="15"/>
      <c r="K371" s="37"/>
      <c r="L371" s="47"/>
      <c r="M371" s="47"/>
      <c r="N371" s="263"/>
      <c r="O371" s="17"/>
      <c r="P371" s="18"/>
    </row>
    <row r="372" spans="1:16" ht="15.75" customHeight="1" x14ac:dyDescent="0.25">
      <c r="A372" s="18"/>
      <c r="B372" s="17"/>
      <c r="C372" s="17"/>
      <c r="D372" s="18"/>
      <c r="E372" s="18"/>
      <c r="F372" s="17"/>
      <c r="G372" s="18"/>
      <c r="H372" s="18"/>
      <c r="I372" s="18"/>
      <c r="J372" s="15"/>
      <c r="K372" s="37"/>
      <c r="L372" s="47"/>
      <c r="M372" s="47"/>
      <c r="N372" s="263"/>
      <c r="O372" s="17"/>
      <c r="P372" s="18"/>
    </row>
    <row r="373" spans="1:16" ht="15.75" customHeight="1" x14ac:dyDescent="0.25">
      <c r="A373" s="18"/>
      <c r="B373" s="17"/>
      <c r="C373" s="17"/>
      <c r="D373" s="18"/>
      <c r="E373" s="18"/>
      <c r="F373" s="17"/>
      <c r="G373" s="18"/>
      <c r="H373" s="18"/>
      <c r="I373" s="18"/>
      <c r="J373" s="15"/>
      <c r="K373" s="37"/>
      <c r="L373" s="47"/>
      <c r="M373" s="47"/>
      <c r="N373" s="263"/>
      <c r="O373" s="17"/>
      <c r="P373" s="18"/>
    </row>
    <row r="374" spans="1:16" ht="15.75" customHeight="1" x14ac:dyDescent="0.25">
      <c r="A374" s="18"/>
      <c r="B374" s="17"/>
      <c r="C374" s="17"/>
      <c r="D374" s="18"/>
      <c r="E374" s="18"/>
      <c r="F374" s="17"/>
      <c r="G374" s="18"/>
      <c r="H374" s="18"/>
      <c r="I374" s="18"/>
      <c r="J374" s="15"/>
      <c r="K374" s="37"/>
      <c r="L374" s="47"/>
      <c r="M374" s="47"/>
      <c r="N374" s="263"/>
      <c r="O374" s="17"/>
      <c r="P374" s="18"/>
    </row>
    <row r="375" spans="1:16" ht="15.75" customHeight="1" x14ac:dyDescent="0.25">
      <c r="A375" s="18"/>
      <c r="B375" s="17"/>
      <c r="C375" s="17"/>
      <c r="D375" s="18"/>
      <c r="E375" s="18"/>
      <c r="F375" s="17"/>
      <c r="G375" s="18"/>
      <c r="H375" s="18"/>
      <c r="I375" s="18"/>
      <c r="J375" s="15"/>
      <c r="K375" s="37"/>
      <c r="L375" s="47"/>
      <c r="M375" s="47"/>
      <c r="N375" s="263"/>
      <c r="O375" s="17"/>
      <c r="P375" s="18"/>
    </row>
    <row r="376" spans="1:16" ht="15.75" customHeight="1" x14ac:dyDescent="0.25">
      <c r="A376" s="18"/>
      <c r="B376" s="17"/>
      <c r="C376" s="17"/>
      <c r="D376" s="18"/>
      <c r="E376" s="18"/>
      <c r="F376" s="17"/>
      <c r="G376" s="18"/>
      <c r="H376" s="18"/>
      <c r="I376" s="18"/>
      <c r="J376" s="15"/>
      <c r="K376" s="37"/>
      <c r="L376" s="47"/>
      <c r="M376" s="47"/>
      <c r="N376" s="263"/>
      <c r="O376" s="17"/>
      <c r="P376" s="18"/>
    </row>
    <row r="377" spans="1:16" ht="15.75" customHeight="1" x14ac:dyDescent="0.25">
      <c r="A377" s="18"/>
      <c r="B377" s="17"/>
      <c r="C377" s="17"/>
      <c r="D377" s="18"/>
      <c r="E377" s="18"/>
      <c r="F377" s="17"/>
      <c r="G377" s="18"/>
      <c r="H377" s="18"/>
      <c r="I377" s="18"/>
      <c r="J377" s="15"/>
      <c r="K377" s="37"/>
      <c r="L377" s="47"/>
      <c r="M377" s="47"/>
      <c r="N377" s="263"/>
      <c r="O377" s="17"/>
      <c r="P377" s="18"/>
    </row>
    <row r="378" spans="1:16" ht="15.75" customHeight="1" x14ac:dyDescent="0.25">
      <c r="A378" s="18"/>
      <c r="B378" s="17"/>
      <c r="C378" s="17"/>
      <c r="D378" s="18"/>
      <c r="E378" s="18"/>
      <c r="F378" s="17"/>
      <c r="G378" s="18"/>
      <c r="H378" s="18"/>
      <c r="I378" s="18"/>
      <c r="J378" s="15"/>
      <c r="K378" s="37"/>
      <c r="L378" s="47"/>
      <c r="M378" s="47"/>
      <c r="N378" s="263"/>
      <c r="O378" s="17"/>
      <c r="P378" s="18"/>
    </row>
    <row r="379" spans="1:16" ht="15.75" customHeight="1" x14ac:dyDescent="0.25">
      <c r="A379" s="18"/>
      <c r="B379" s="17"/>
      <c r="C379" s="17"/>
      <c r="D379" s="18"/>
      <c r="E379" s="18"/>
      <c r="F379" s="17"/>
      <c r="G379" s="18"/>
      <c r="H379" s="18"/>
      <c r="I379" s="18"/>
      <c r="J379" s="15"/>
      <c r="K379" s="37"/>
      <c r="L379" s="47"/>
      <c r="M379" s="47"/>
      <c r="N379" s="263"/>
      <c r="O379" s="17"/>
      <c r="P379" s="18"/>
    </row>
    <row r="380" spans="1:16" ht="15.75" customHeight="1" x14ac:dyDescent="0.25">
      <c r="A380" s="18"/>
      <c r="B380" s="17"/>
      <c r="C380" s="17"/>
      <c r="D380" s="18"/>
      <c r="E380" s="18"/>
      <c r="F380" s="17"/>
      <c r="G380" s="18"/>
      <c r="H380" s="18"/>
      <c r="I380" s="18"/>
      <c r="J380" s="15"/>
      <c r="K380" s="37"/>
      <c r="L380" s="47"/>
      <c r="M380" s="47"/>
      <c r="N380" s="263"/>
      <c r="O380" s="17"/>
      <c r="P380" s="18"/>
    </row>
    <row r="381" spans="1:16" ht="15.75" customHeight="1" x14ac:dyDescent="0.25">
      <c r="A381" s="18"/>
      <c r="B381" s="17"/>
      <c r="C381" s="17"/>
      <c r="D381" s="18"/>
      <c r="E381" s="18"/>
      <c r="F381" s="17"/>
      <c r="G381" s="18"/>
      <c r="H381" s="18"/>
      <c r="I381" s="18"/>
      <c r="J381" s="15"/>
      <c r="K381" s="37"/>
      <c r="L381" s="47"/>
      <c r="M381" s="47"/>
      <c r="N381" s="263"/>
      <c r="O381" s="17"/>
      <c r="P381" s="18"/>
    </row>
    <row r="382" spans="1:16" ht="15.75" customHeight="1" x14ac:dyDescent="0.25">
      <c r="A382" s="18"/>
      <c r="B382" s="17"/>
      <c r="C382" s="17"/>
      <c r="D382" s="18"/>
      <c r="E382" s="18"/>
      <c r="F382" s="17"/>
      <c r="G382" s="18"/>
      <c r="H382" s="18"/>
      <c r="I382" s="18"/>
      <c r="J382" s="15"/>
      <c r="K382" s="37"/>
      <c r="L382" s="47"/>
      <c r="M382" s="47"/>
      <c r="N382" s="263"/>
      <c r="O382" s="17"/>
      <c r="P382" s="18"/>
    </row>
    <row r="383" spans="1:16" ht="15.75" customHeight="1" x14ac:dyDescent="0.25">
      <c r="A383" s="18"/>
      <c r="B383" s="17"/>
      <c r="C383" s="17"/>
      <c r="D383" s="18"/>
      <c r="E383" s="18"/>
      <c r="F383" s="17"/>
      <c r="G383" s="18"/>
      <c r="H383" s="18"/>
      <c r="I383" s="18"/>
      <c r="J383" s="15"/>
      <c r="K383" s="37"/>
      <c r="L383" s="47"/>
      <c r="M383" s="47"/>
      <c r="N383" s="263"/>
      <c r="O383" s="17"/>
      <c r="P383" s="18"/>
    </row>
    <row r="384" spans="1:16" ht="15.75" customHeight="1" x14ac:dyDescent="0.25">
      <c r="A384" s="18"/>
      <c r="B384" s="17"/>
      <c r="C384" s="17"/>
      <c r="D384" s="18"/>
      <c r="E384" s="18"/>
      <c r="F384" s="17"/>
      <c r="G384" s="18"/>
      <c r="H384" s="18"/>
      <c r="I384" s="18"/>
      <c r="J384" s="15"/>
      <c r="K384" s="37"/>
      <c r="L384" s="47"/>
      <c r="M384" s="47"/>
      <c r="N384" s="263"/>
      <c r="O384" s="17"/>
      <c r="P384" s="18"/>
    </row>
    <row r="385" spans="1:16" ht="15.75" customHeight="1" x14ac:dyDescent="0.25">
      <c r="A385" s="18"/>
      <c r="B385" s="17"/>
      <c r="C385" s="17"/>
      <c r="D385" s="18"/>
      <c r="E385" s="18"/>
      <c r="F385" s="17"/>
      <c r="G385" s="18"/>
      <c r="H385" s="18"/>
      <c r="I385" s="18"/>
      <c r="J385" s="15"/>
      <c r="K385" s="37"/>
      <c r="L385" s="47"/>
      <c r="M385" s="47"/>
      <c r="N385" s="263"/>
      <c r="O385" s="17"/>
      <c r="P385" s="18"/>
    </row>
    <row r="386" spans="1:16" ht="15.75" customHeight="1" x14ac:dyDescent="0.25">
      <c r="A386" s="18"/>
      <c r="B386" s="17"/>
      <c r="C386" s="17"/>
      <c r="D386" s="18"/>
      <c r="E386" s="18"/>
      <c r="F386" s="17"/>
      <c r="G386" s="18"/>
      <c r="H386" s="18"/>
      <c r="I386" s="18"/>
      <c r="J386" s="15"/>
      <c r="K386" s="37"/>
      <c r="L386" s="47"/>
      <c r="M386" s="47"/>
      <c r="N386" s="263"/>
      <c r="O386" s="17"/>
      <c r="P386" s="18"/>
    </row>
    <row r="387" spans="1:16" ht="15.75" customHeight="1" x14ac:dyDescent="0.25">
      <c r="A387" s="18"/>
      <c r="B387" s="17"/>
      <c r="C387" s="17"/>
      <c r="D387" s="18"/>
      <c r="E387" s="18"/>
      <c r="F387" s="17"/>
      <c r="G387" s="18"/>
      <c r="H387" s="18"/>
      <c r="I387" s="18"/>
      <c r="J387" s="15"/>
      <c r="K387" s="37"/>
      <c r="L387" s="47"/>
      <c r="M387" s="47"/>
      <c r="N387" s="263"/>
      <c r="O387" s="17"/>
      <c r="P387" s="18"/>
    </row>
    <row r="388" spans="1:16" ht="15.75" customHeight="1" x14ac:dyDescent="0.25">
      <c r="A388" s="18"/>
      <c r="B388" s="17"/>
      <c r="C388" s="17"/>
      <c r="D388" s="18"/>
      <c r="E388" s="18"/>
      <c r="F388" s="17"/>
      <c r="G388" s="18"/>
      <c r="H388" s="18"/>
      <c r="I388" s="18"/>
      <c r="J388" s="15"/>
      <c r="K388" s="37"/>
      <c r="L388" s="47"/>
      <c r="M388" s="47"/>
      <c r="N388" s="263"/>
      <c r="O388" s="17"/>
      <c r="P388" s="18"/>
    </row>
    <row r="389" spans="1:16" ht="15.75" customHeight="1" x14ac:dyDescent="0.25">
      <c r="A389" s="18"/>
      <c r="B389" s="17"/>
      <c r="C389" s="17"/>
      <c r="D389" s="18"/>
      <c r="E389" s="18"/>
      <c r="F389" s="17"/>
      <c r="G389" s="18"/>
      <c r="H389" s="18"/>
      <c r="I389" s="18"/>
      <c r="J389" s="15"/>
      <c r="K389" s="37"/>
      <c r="L389" s="47"/>
      <c r="M389" s="47"/>
      <c r="N389" s="263"/>
      <c r="O389" s="17"/>
      <c r="P389" s="18"/>
    </row>
    <row r="390" spans="1:16" ht="15.75" customHeight="1" x14ac:dyDescent="0.25">
      <c r="A390" s="18"/>
      <c r="B390" s="17"/>
      <c r="C390" s="17"/>
      <c r="D390" s="18"/>
      <c r="E390" s="18"/>
      <c r="F390" s="17"/>
      <c r="G390" s="18"/>
      <c r="H390" s="18"/>
      <c r="I390" s="18"/>
      <c r="J390" s="15"/>
      <c r="K390" s="37"/>
      <c r="L390" s="47"/>
      <c r="M390" s="47"/>
      <c r="N390" s="263"/>
      <c r="O390" s="17"/>
      <c r="P390" s="18"/>
    </row>
    <row r="391" spans="1:16" ht="15.75" customHeight="1" x14ac:dyDescent="0.25">
      <c r="A391" s="18"/>
      <c r="B391" s="17"/>
      <c r="C391" s="17"/>
      <c r="D391" s="18"/>
      <c r="E391" s="18"/>
      <c r="F391" s="17"/>
      <c r="G391" s="18"/>
      <c r="H391" s="18"/>
      <c r="I391" s="18"/>
      <c r="J391" s="15"/>
      <c r="K391" s="37"/>
      <c r="L391" s="47"/>
      <c r="M391" s="47"/>
      <c r="N391" s="263"/>
      <c r="O391" s="17"/>
      <c r="P391" s="18"/>
    </row>
    <row r="392" spans="1:16" ht="15.75" customHeight="1" x14ac:dyDescent="0.25">
      <c r="A392" s="18"/>
      <c r="B392" s="17"/>
      <c r="C392" s="17"/>
      <c r="D392" s="18"/>
      <c r="E392" s="18"/>
      <c r="F392" s="17"/>
      <c r="G392" s="18"/>
      <c r="H392" s="18"/>
      <c r="I392" s="18"/>
      <c r="J392" s="15"/>
      <c r="K392" s="37"/>
      <c r="L392" s="47"/>
      <c r="M392" s="47"/>
      <c r="N392" s="263"/>
      <c r="O392" s="17"/>
      <c r="P392" s="18"/>
    </row>
    <row r="393" spans="1:16" ht="15.75" customHeight="1" x14ac:dyDescent="0.25">
      <c r="A393" s="18"/>
      <c r="B393" s="17"/>
      <c r="C393" s="17"/>
      <c r="D393" s="18"/>
      <c r="E393" s="18"/>
      <c r="F393" s="17"/>
      <c r="G393" s="18"/>
      <c r="H393" s="18"/>
      <c r="I393" s="18"/>
      <c r="J393" s="15"/>
      <c r="K393" s="37"/>
      <c r="L393" s="47"/>
      <c r="M393" s="47"/>
      <c r="N393" s="263"/>
      <c r="O393" s="17"/>
      <c r="P393" s="18"/>
    </row>
    <row r="394" spans="1:16" ht="15.75" customHeight="1" x14ac:dyDescent="0.25">
      <c r="A394" s="18"/>
      <c r="B394" s="17"/>
      <c r="C394" s="17"/>
      <c r="D394" s="18"/>
      <c r="E394" s="18"/>
      <c r="F394" s="17"/>
      <c r="G394" s="18"/>
      <c r="H394" s="18"/>
      <c r="I394" s="18"/>
      <c r="J394" s="15"/>
      <c r="K394" s="37"/>
      <c r="L394" s="47"/>
      <c r="M394" s="47"/>
      <c r="N394" s="263"/>
      <c r="O394" s="17"/>
      <c r="P394" s="18"/>
    </row>
    <row r="395" spans="1:16" ht="15.75" customHeight="1" x14ac:dyDescent="0.25">
      <c r="A395" s="18"/>
      <c r="B395" s="17"/>
      <c r="C395" s="17"/>
      <c r="D395" s="18"/>
      <c r="E395" s="18"/>
      <c r="F395" s="17"/>
      <c r="G395" s="18"/>
      <c r="H395" s="18"/>
      <c r="I395" s="18"/>
      <c r="J395" s="15"/>
      <c r="K395" s="37"/>
      <c r="L395" s="47"/>
      <c r="M395" s="47"/>
      <c r="N395" s="263"/>
      <c r="O395" s="17"/>
      <c r="P395" s="18"/>
    </row>
    <row r="396" spans="1:16" ht="15.75" customHeight="1" x14ac:dyDescent="0.25">
      <c r="A396" s="18"/>
      <c r="B396" s="17"/>
      <c r="C396" s="17"/>
      <c r="D396" s="18"/>
      <c r="E396" s="18"/>
      <c r="F396" s="17"/>
      <c r="G396" s="18"/>
      <c r="H396" s="18"/>
      <c r="I396" s="18"/>
      <c r="J396" s="15"/>
      <c r="K396" s="37"/>
      <c r="L396" s="47"/>
      <c r="M396" s="47"/>
      <c r="N396" s="263"/>
      <c r="O396" s="17"/>
      <c r="P396" s="18"/>
    </row>
    <row r="397" spans="1:16" ht="15.75" customHeight="1" x14ac:dyDescent="0.25">
      <c r="A397" s="18"/>
      <c r="B397" s="17"/>
      <c r="C397" s="17"/>
      <c r="D397" s="18"/>
      <c r="E397" s="18"/>
      <c r="F397" s="17"/>
      <c r="G397" s="18"/>
      <c r="H397" s="18"/>
      <c r="I397" s="18"/>
      <c r="J397" s="15"/>
      <c r="K397" s="37"/>
      <c r="L397" s="47"/>
      <c r="M397" s="47"/>
      <c r="N397" s="263"/>
      <c r="O397" s="17"/>
      <c r="P397" s="18"/>
    </row>
    <row r="398" spans="1:16" ht="15.75" customHeight="1" x14ac:dyDescent="0.25">
      <c r="A398" s="18"/>
      <c r="B398" s="17"/>
      <c r="C398" s="17"/>
      <c r="D398" s="18"/>
      <c r="E398" s="18"/>
      <c r="F398" s="17"/>
      <c r="G398" s="18"/>
      <c r="H398" s="18"/>
      <c r="I398" s="18"/>
      <c r="J398" s="15"/>
      <c r="K398" s="37"/>
      <c r="L398" s="47"/>
      <c r="M398" s="47"/>
      <c r="N398" s="263"/>
      <c r="O398" s="17"/>
      <c r="P398" s="18"/>
    </row>
    <row r="399" spans="1:16" ht="15.75" customHeight="1" x14ac:dyDescent="0.25">
      <c r="A399" s="18"/>
      <c r="B399" s="17"/>
      <c r="C399" s="17"/>
      <c r="D399" s="18"/>
      <c r="E399" s="18"/>
      <c r="F399" s="17"/>
      <c r="G399" s="18"/>
      <c r="H399" s="18"/>
      <c r="I399" s="18"/>
      <c r="J399" s="15"/>
      <c r="K399" s="37"/>
      <c r="L399" s="47"/>
      <c r="M399" s="47"/>
      <c r="N399" s="263"/>
      <c r="O399" s="17"/>
      <c r="P399" s="18"/>
    </row>
    <row r="400" spans="1:16" ht="15.75" customHeight="1" x14ac:dyDescent="0.25">
      <c r="A400" s="18"/>
      <c r="B400" s="17"/>
      <c r="C400" s="17"/>
      <c r="D400" s="18"/>
      <c r="E400" s="18"/>
      <c r="F400" s="17"/>
      <c r="G400" s="18"/>
      <c r="H400" s="18"/>
      <c r="I400" s="18"/>
      <c r="J400" s="15"/>
      <c r="K400" s="37"/>
      <c r="L400" s="47"/>
      <c r="M400" s="47"/>
      <c r="N400" s="263"/>
      <c r="O400" s="17"/>
      <c r="P400" s="18"/>
    </row>
    <row r="401" spans="1:16" ht="15.75" customHeight="1" x14ac:dyDescent="0.25">
      <c r="A401" s="18"/>
      <c r="B401" s="17"/>
      <c r="C401" s="17"/>
      <c r="D401" s="18"/>
      <c r="E401" s="18"/>
      <c r="F401" s="17"/>
      <c r="G401" s="18"/>
      <c r="H401" s="18"/>
      <c r="I401" s="18"/>
      <c r="J401" s="15"/>
      <c r="K401" s="37"/>
      <c r="L401" s="47"/>
      <c r="M401" s="47"/>
      <c r="N401" s="263"/>
      <c r="O401" s="17"/>
      <c r="P401" s="18"/>
    </row>
    <row r="402" spans="1:16" ht="15.75" customHeight="1" x14ac:dyDescent="0.25">
      <c r="A402" s="18"/>
      <c r="B402" s="17"/>
      <c r="C402" s="17"/>
      <c r="D402" s="18"/>
      <c r="E402" s="18"/>
      <c r="F402" s="17"/>
      <c r="G402" s="18"/>
      <c r="H402" s="18"/>
      <c r="I402" s="18"/>
      <c r="J402" s="15"/>
      <c r="K402" s="37"/>
      <c r="L402" s="47"/>
      <c r="M402" s="47"/>
      <c r="N402" s="263"/>
      <c r="O402" s="17"/>
      <c r="P402" s="18"/>
    </row>
    <row r="403" spans="1:16" ht="15.75" customHeight="1" x14ac:dyDescent="0.25">
      <c r="A403" s="18"/>
      <c r="B403" s="17"/>
      <c r="C403" s="17"/>
      <c r="D403" s="18"/>
      <c r="E403" s="18"/>
      <c r="F403" s="17"/>
      <c r="G403" s="18"/>
      <c r="H403" s="18"/>
      <c r="I403" s="18"/>
      <c r="J403" s="15"/>
      <c r="K403" s="37"/>
      <c r="L403" s="47"/>
      <c r="M403" s="47"/>
      <c r="N403" s="263"/>
      <c r="O403" s="17"/>
      <c r="P403" s="18"/>
    </row>
    <row r="404" spans="1:16" ht="15.75" customHeight="1" x14ac:dyDescent="0.25">
      <c r="A404" s="18"/>
      <c r="B404" s="17"/>
      <c r="C404" s="17"/>
      <c r="D404" s="18"/>
      <c r="E404" s="18"/>
      <c r="F404" s="17"/>
      <c r="G404" s="18"/>
      <c r="H404" s="18"/>
      <c r="I404" s="18"/>
      <c r="J404" s="15"/>
      <c r="K404" s="37"/>
      <c r="L404" s="47"/>
      <c r="M404" s="47"/>
      <c r="N404" s="263"/>
      <c r="O404" s="17"/>
      <c r="P404" s="18"/>
    </row>
    <row r="405" spans="1:16" ht="15.75" customHeight="1" x14ac:dyDescent="0.25">
      <c r="A405" s="18"/>
      <c r="B405" s="17"/>
      <c r="C405" s="17"/>
      <c r="D405" s="18"/>
      <c r="E405" s="18"/>
      <c r="F405" s="17"/>
      <c r="G405" s="18"/>
      <c r="H405" s="18"/>
      <c r="I405" s="18"/>
      <c r="J405" s="15"/>
      <c r="K405" s="37"/>
      <c r="L405" s="47"/>
      <c r="M405" s="47"/>
      <c r="N405" s="263"/>
      <c r="O405" s="17"/>
      <c r="P405" s="18"/>
    </row>
    <row r="406" spans="1:16" ht="15.75" customHeight="1" x14ac:dyDescent="0.25">
      <c r="A406" s="18"/>
      <c r="B406" s="17"/>
      <c r="C406" s="17"/>
      <c r="D406" s="18"/>
      <c r="E406" s="18"/>
      <c r="F406" s="17"/>
      <c r="G406" s="18"/>
      <c r="H406" s="18"/>
      <c r="I406" s="18"/>
      <c r="J406" s="15"/>
      <c r="K406" s="37"/>
      <c r="L406" s="47"/>
      <c r="M406" s="47"/>
      <c r="N406" s="263"/>
      <c r="O406" s="17"/>
      <c r="P406" s="18"/>
    </row>
    <row r="407" spans="1:16" ht="15.75" customHeight="1" x14ac:dyDescent="0.25">
      <c r="A407" s="18"/>
      <c r="B407" s="17"/>
      <c r="C407" s="17"/>
      <c r="D407" s="18"/>
      <c r="E407" s="18"/>
      <c r="F407" s="17"/>
      <c r="G407" s="18"/>
      <c r="H407" s="18"/>
      <c r="I407" s="18"/>
      <c r="J407" s="15"/>
      <c r="K407" s="37"/>
      <c r="L407" s="47"/>
      <c r="M407" s="47"/>
      <c r="N407" s="263"/>
      <c r="O407" s="17"/>
      <c r="P407" s="18"/>
    </row>
    <row r="408" spans="1:16" ht="15.75" customHeight="1" x14ac:dyDescent="0.25">
      <c r="A408" s="18"/>
      <c r="B408" s="17"/>
      <c r="C408" s="17"/>
      <c r="D408" s="18"/>
      <c r="E408" s="18"/>
      <c r="F408" s="17"/>
      <c r="G408" s="18"/>
      <c r="H408" s="18"/>
      <c r="I408" s="18"/>
      <c r="J408" s="15"/>
      <c r="K408" s="37"/>
      <c r="L408" s="47"/>
      <c r="M408" s="47"/>
      <c r="N408" s="263"/>
      <c r="O408" s="17"/>
      <c r="P408" s="18"/>
    </row>
    <row r="409" spans="1:16" ht="15.75" customHeight="1" x14ac:dyDescent="0.25">
      <c r="A409" s="18"/>
      <c r="B409" s="17"/>
      <c r="C409" s="17"/>
      <c r="D409" s="18"/>
      <c r="E409" s="18"/>
      <c r="F409" s="17"/>
      <c r="G409" s="18"/>
      <c r="H409" s="18"/>
      <c r="I409" s="18"/>
      <c r="J409" s="15"/>
      <c r="K409" s="37"/>
      <c r="L409" s="47"/>
      <c r="M409" s="47"/>
      <c r="N409" s="263"/>
      <c r="O409" s="17"/>
      <c r="P409" s="18"/>
    </row>
    <row r="410" spans="1:16" ht="15.75" customHeight="1" x14ac:dyDescent="0.25">
      <c r="A410" s="18"/>
      <c r="B410" s="17"/>
      <c r="C410" s="17"/>
      <c r="D410" s="18"/>
      <c r="E410" s="18"/>
      <c r="F410" s="17"/>
      <c r="G410" s="18"/>
      <c r="H410" s="18"/>
      <c r="I410" s="18"/>
      <c r="J410" s="15"/>
      <c r="K410" s="37"/>
      <c r="L410" s="47"/>
      <c r="M410" s="47"/>
      <c r="N410" s="263"/>
      <c r="O410" s="17"/>
      <c r="P410" s="18"/>
    </row>
    <row r="411" spans="1:16" ht="15.75" customHeight="1" x14ac:dyDescent="0.25">
      <c r="A411" s="18"/>
      <c r="B411" s="17"/>
      <c r="C411" s="17"/>
      <c r="D411" s="18"/>
      <c r="E411" s="18"/>
      <c r="F411" s="17"/>
      <c r="G411" s="18"/>
      <c r="H411" s="18"/>
      <c r="I411" s="18"/>
      <c r="J411" s="15"/>
      <c r="K411" s="37"/>
      <c r="L411" s="47"/>
      <c r="M411" s="47"/>
      <c r="N411" s="263"/>
      <c r="O411" s="17"/>
      <c r="P411" s="18"/>
    </row>
    <row r="412" spans="1:16" ht="15.75" customHeight="1" x14ac:dyDescent="0.25">
      <c r="A412" s="18"/>
      <c r="B412" s="17"/>
      <c r="C412" s="17"/>
      <c r="D412" s="18"/>
      <c r="E412" s="18"/>
      <c r="F412" s="17"/>
      <c r="G412" s="18"/>
      <c r="H412" s="18"/>
      <c r="I412" s="18"/>
      <c r="J412" s="15"/>
      <c r="K412" s="37"/>
      <c r="L412" s="47"/>
      <c r="M412" s="47"/>
      <c r="N412" s="263"/>
      <c r="O412" s="17"/>
      <c r="P412" s="18"/>
    </row>
    <row r="413" spans="1:16" ht="15.75" customHeight="1" x14ac:dyDescent="0.25">
      <c r="A413" s="18"/>
      <c r="B413" s="17"/>
      <c r="C413" s="17"/>
      <c r="D413" s="18"/>
      <c r="E413" s="18"/>
      <c r="F413" s="17"/>
      <c r="G413" s="18"/>
      <c r="H413" s="18"/>
      <c r="I413" s="18"/>
      <c r="J413" s="15"/>
      <c r="K413" s="37"/>
      <c r="L413" s="47"/>
      <c r="M413" s="47"/>
      <c r="N413" s="263"/>
      <c r="O413" s="17"/>
      <c r="P413" s="18"/>
    </row>
    <row r="414" spans="1:16" ht="15.75" customHeight="1" x14ac:dyDescent="0.25">
      <c r="A414" s="18"/>
      <c r="B414" s="17"/>
      <c r="C414" s="17"/>
      <c r="D414" s="18"/>
      <c r="E414" s="18"/>
      <c r="F414" s="17"/>
      <c r="G414" s="18"/>
      <c r="H414" s="18"/>
      <c r="I414" s="18"/>
      <c r="J414" s="15"/>
      <c r="K414" s="37"/>
      <c r="L414" s="47"/>
      <c r="M414" s="47"/>
      <c r="N414" s="263"/>
      <c r="O414" s="17"/>
      <c r="P414" s="18"/>
    </row>
    <row r="415" spans="1:16" ht="15.75" customHeight="1" x14ac:dyDescent="0.25">
      <c r="A415" s="18"/>
      <c r="B415" s="17"/>
      <c r="C415" s="17"/>
      <c r="D415" s="18"/>
      <c r="E415" s="18"/>
      <c r="F415" s="17"/>
      <c r="G415" s="18"/>
      <c r="H415" s="18"/>
      <c r="I415" s="18"/>
      <c r="J415" s="15"/>
      <c r="K415" s="37"/>
      <c r="L415" s="47"/>
      <c r="M415" s="47"/>
      <c r="N415" s="263"/>
      <c r="O415" s="17"/>
      <c r="P415" s="18"/>
    </row>
    <row r="416" spans="1:16" ht="15.75" customHeight="1" x14ac:dyDescent="0.25">
      <c r="A416" s="18"/>
      <c r="B416" s="17"/>
      <c r="C416" s="17"/>
      <c r="D416" s="18"/>
      <c r="E416" s="18"/>
      <c r="F416" s="17"/>
      <c r="G416" s="18"/>
      <c r="H416" s="18"/>
      <c r="I416" s="18"/>
      <c r="J416" s="15"/>
      <c r="K416" s="37"/>
      <c r="L416" s="47"/>
      <c r="M416" s="47"/>
      <c r="N416" s="263"/>
      <c r="O416" s="17"/>
      <c r="P416" s="18"/>
    </row>
    <row r="417" spans="1:16" ht="15.75" customHeight="1" x14ac:dyDescent="0.25">
      <c r="A417" s="18"/>
      <c r="B417" s="17"/>
      <c r="C417" s="17"/>
      <c r="D417" s="18"/>
      <c r="E417" s="18"/>
      <c r="F417" s="17"/>
      <c r="G417" s="18"/>
      <c r="H417" s="18"/>
      <c r="I417" s="18"/>
      <c r="J417" s="15"/>
      <c r="K417" s="37"/>
      <c r="L417" s="47"/>
      <c r="M417" s="47"/>
      <c r="N417" s="263"/>
      <c r="O417" s="17"/>
      <c r="P417" s="18"/>
    </row>
    <row r="418" spans="1:16" ht="15.75" customHeight="1" x14ac:dyDescent="0.25">
      <c r="A418" s="18"/>
      <c r="B418" s="17"/>
      <c r="C418" s="17"/>
      <c r="D418" s="18"/>
      <c r="E418" s="18"/>
      <c r="F418" s="17"/>
      <c r="G418" s="18"/>
      <c r="H418" s="18"/>
      <c r="I418" s="18"/>
      <c r="J418" s="15"/>
      <c r="K418" s="37"/>
      <c r="L418" s="47"/>
      <c r="M418" s="47"/>
      <c r="N418" s="263"/>
      <c r="O418" s="17"/>
      <c r="P418" s="18"/>
    </row>
    <row r="419" spans="1:16" ht="15.75" customHeight="1" x14ac:dyDescent="0.25">
      <c r="A419" s="18"/>
      <c r="B419" s="17"/>
      <c r="C419" s="17"/>
      <c r="D419" s="18"/>
      <c r="E419" s="18"/>
      <c r="F419" s="17"/>
      <c r="G419" s="18"/>
      <c r="H419" s="18"/>
      <c r="I419" s="18"/>
      <c r="J419" s="15"/>
      <c r="K419" s="37"/>
      <c r="L419" s="47"/>
      <c r="M419" s="47"/>
      <c r="N419" s="263"/>
      <c r="O419" s="17"/>
      <c r="P419" s="18"/>
    </row>
    <row r="420" spans="1:16" ht="15.75" customHeight="1" x14ac:dyDescent="0.25">
      <c r="A420" s="18"/>
      <c r="B420" s="17"/>
      <c r="C420" s="17"/>
      <c r="D420" s="18"/>
      <c r="E420" s="18"/>
      <c r="F420" s="17"/>
      <c r="G420" s="18"/>
      <c r="H420" s="18"/>
      <c r="I420" s="18"/>
      <c r="J420" s="15"/>
      <c r="K420" s="37"/>
      <c r="L420" s="47"/>
      <c r="M420" s="47"/>
      <c r="N420" s="263"/>
      <c r="O420" s="17"/>
      <c r="P420" s="18"/>
    </row>
    <row r="421" spans="1:16" ht="15.75" customHeight="1" x14ac:dyDescent="0.25">
      <c r="A421" s="18"/>
      <c r="B421" s="17"/>
      <c r="C421" s="17"/>
      <c r="D421" s="18"/>
      <c r="E421" s="18"/>
      <c r="F421" s="17"/>
      <c r="G421" s="18"/>
      <c r="H421" s="18"/>
      <c r="I421" s="18"/>
      <c r="J421" s="15"/>
      <c r="K421" s="37"/>
      <c r="L421" s="47"/>
      <c r="M421" s="47"/>
      <c r="N421" s="263"/>
      <c r="O421" s="17"/>
      <c r="P421" s="18"/>
    </row>
    <row r="422" spans="1:16" ht="15.75" customHeight="1" x14ac:dyDescent="0.25">
      <c r="A422" s="18"/>
      <c r="B422" s="17"/>
      <c r="C422" s="17"/>
      <c r="D422" s="18"/>
      <c r="E422" s="18"/>
      <c r="F422" s="17"/>
      <c r="G422" s="18"/>
      <c r="H422" s="18"/>
      <c r="I422" s="18"/>
      <c r="J422" s="15"/>
      <c r="K422" s="37"/>
      <c r="L422" s="47"/>
      <c r="M422" s="47"/>
      <c r="N422" s="263"/>
      <c r="O422" s="17"/>
      <c r="P422" s="18"/>
    </row>
    <row r="423" spans="1:16" ht="15.75" customHeight="1" x14ac:dyDescent="0.25">
      <c r="A423" s="18"/>
      <c r="B423" s="17"/>
      <c r="C423" s="17"/>
      <c r="D423" s="18"/>
      <c r="E423" s="18"/>
      <c r="F423" s="17"/>
      <c r="G423" s="18"/>
      <c r="H423" s="18"/>
      <c r="I423" s="18"/>
      <c r="J423" s="15"/>
      <c r="K423" s="37"/>
      <c r="L423" s="47"/>
      <c r="M423" s="47"/>
      <c r="N423" s="263"/>
      <c r="O423" s="17"/>
      <c r="P423" s="18"/>
    </row>
    <row r="424" spans="1:16" ht="15.75" customHeight="1" x14ac:dyDescent="0.25">
      <c r="A424" s="18"/>
      <c r="B424" s="17"/>
      <c r="C424" s="17"/>
      <c r="D424" s="18"/>
      <c r="E424" s="18"/>
      <c r="F424" s="17"/>
      <c r="G424" s="18"/>
      <c r="H424" s="18"/>
      <c r="I424" s="18"/>
      <c r="J424" s="15"/>
      <c r="K424" s="37"/>
      <c r="L424" s="47"/>
      <c r="M424" s="47"/>
      <c r="N424" s="263"/>
      <c r="O424" s="17"/>
      <c r="P424" s="18"/>
    </row>
    <row r="425" spans="1:16" ht="15.75" customHeight="1" x14ac:dyDescent="0.25">
      <c r="A425" s="18"/>
      <c r="B425" s="17"/>
      <c r="C425" s="17"/>
      <c r="D425" s="18"/>
      <c r="E425" s="18"/>
      <c r="F425" s="17"/>
      <c r="G425" s="18"/>
      <c r="H425" s="18"/>
      <c r="I425" s="18"/>
      <c r="J425" s="15"/>
      <c r="K425" s="37"/>
      <c r="L425" s="47"/>
      <c r="M425" s="47"/>
      <c r="N425" s="263"/>
      <c r="O425" s="17"/>
      <c r="P425" s="18"/>
    </row>
    <row r="426" spans="1:16" ht="15.75" customHeight="1" x14ac:dyDescent="0.25">
      <c r="A426" s="18"/>
      <c r="B426" s="17"/>
      <c r="C426" s="17"/>
      <c r="D426" s="18"/>
      <c r="E426" s="18"/>
      <c r="F426" s="17"/>
      <c r="G426" s="18"/>
      <c r="H426" s="18"/>
      <c r="I426" s="18"/>
      <c r="J426" s="15"/>
      <c r="K426" s="37"/>
      <c r="L426" s="47"/>
      <c r="M426" s="47"/>
      <c r="N426" s="263"/>
      <c r="O426" s="17"/>
      <c r="P426" s="18"/>
    </row>
    <row r="427" spans="1:16" ht="15.75" customHeight="1" x14ac:dyDescent="0.25">
      <c r="A427" s="18"/>
      <c r="B427" s="17"/>
      <c r="C427" s="17"/>
      <c r="D427" s="18"/>
      <c r="E427" s="18"/>
      <c r="F427" s="17"/>
      <c r="G427" s="18"/>
      <c r="H427" s="18"/>
      <c r="I427" s="18"/>
      <c r="J427" s="15"/>
      <c r="K427" s="37"/>
      <c r="L427" s="47"/>
      <c r="M427" s="47"/>
      <c r="N427" s="263"/>
      <c r="O427" s="17"/>
      <c r="P427" s="18"/>
    </row>
    <row r="428" spans="1:16" ht="15.75" customHeight="1" x14ac:dyDescent="0.25">
      <c r="A428" s="18"/>
      <c r="B428" s="17"/>
      <c r="C428" s="17"/>
      <c r="D428" s="18"/>
      <c r="E428" s="18"/>
      <c r="F428" s="17"/>
      <c r="G428" s="18"/>
      <c r="H428" s="18"/>
      <c r="I428" s="18"/>
      <c r="J428" s="15"/>
      <c r="K428" s="37"/>
      <c r="L428" s="47"/>
      <c r="M428" s="47"/>
      <c r="N428" s="263"/>
      <c r="O428" s="17"/>
      <c r="P428" s="18"/>
    </row>
    <row r="429" spans="1:16" ht="15.75" customHeight="1" x14ac:dyDescent="0.25">
      <c r="A429" s="18"/>
      <c r="B429" s="17"/>
      <c r="C429" s="17"/>
      <c r="D429" s="18"/>
      <c r="E429" s="18"/>
      <c r="F429" s="17"/>
      <c r="G429" s="18"/>
      <c r="H429" s="18"/>
      <c r="I429" s="18"/>
      <c r="J429" s="15"/>
      <c r="K429" s="37"/>
      <c r="L429" s="47"/>
      <c r="M429" s="47"/>
      <c r="N429" s="263"/>
      <c r="O429" s="17"/>
      <c r="P429" s="18"/>
    </row>
    <row r="430" spans="1:16" ht="15.75" customHeight="1" x14ac:dyDescent="0.25">
      <c r="A430" s="18"/>
      <c r="B430" s="17"/>
      <c r="C430" s="17"/>
      <c r="D430" s="18"/>
      <c r="E430" s="18"/>
      <c r="F430" s="17"/>
      <c r="G430" s="18"/>
      <c r="H430" s="18"/>
      <c r="I430" s="18"/>
      <c r="J430" s="15"/>
      <c r="K430" s="37"/>
      <c r="L430" s="47"/>
      <c r="M430" s="47"/>
      <c r="N430" s="263"/>
      <c r="O430" s="17"/>
      <c r="P430" s="18"/>
    </row>
    <row r="431" spans="1:16" ht="15.75" customHeight="1" x14ac:dyDescent="0.25">
      <c r="A431" s="18"/>
      <c r="B431" s="17"/>
      <c r="C431" s="17"/>
      <c r="D431" s="18"/>
      <c r="E431" s="18"/>
      <c r="F431" s="17"/>
      <c r="G431" s="18"/>
      <c r="H431" s="18"/>
      <c r="I431" s="18"/>
      <c r="J431" s="15"/>
      <c r="K431" s="37"/>
      <c r="L431" s="47"/>
      <c r="M431" s="47"/>
      <c r="N431" s="263"/>
      <c r="O431" s="17"/>
      <c r="P431" s="18"/>
    </row>
    <row r="432" spans="1:16" ht="15.75" customHeight="1" x14ac:dyDescent="0.25">
      <c r="A432" s="18"/>
      <c r="B432" s="17"/>
      <c r="C432" s="17"/>
      <c r="D432" s="18"/>
      <c r="E432" s="18"/>
      <c r="F432" s="17"/>
      <c r="G432" s="18"/>
      <c r="H432" s="18"/>
      <c r="I432" s="18"/>
      <c r="J432" s="15"/>
      <c r="K432" s="37"/>
      <c r="L432" s="47"/>
      <c r="M432" s="47"/>
      <c r="N432" s="263"/>
      <c r="O432" s="17"/>
      <c r="P432" s="18"/>
    </row>
    <row r="433" spans="1:16" ht="15.75" customHeight="1" x14ac:dyDescent="0.25">
      <c r="A433" s="18"/>
      <c r="B433" s="17"/>
      <c r="C433" s="17"/>
      <c r="D433" s="18"/>
      <c r="E433" s="18"/>
      <c r="F433" s="17"/>
      <c r="G433" s="18"/>
      <c r="H433" s="18"/>
      <c r="I433" s="18"/>
      <c r="J433" s="15"/>
      <c r="K433" s="37"/>
      <c r="L433" s="47"/>
      <c r="M433" s="47"/>
      <c r="N433" s="263"/>
      <c r="O433" s="17"/>
      <c r="P433" s="18"/>
    </row>
    <row r="434" spans="1:16" ht="15.75" customHeight="1" x14ac:dyDescent="0.25">
      <c r="A434" s="18"/>
      <c r="B434" s="17"/>
      <c r="C434" s="17"/>
      <c r="D434" s="18"/>
      <c r="E434" s="18"/>
      <c r="F434" s="17"/>
      <c r="G434" s="18"/>
      <c r="H434" s="18"/>
      <c r="I434" s="18"/>
      <c r="J434" s="15"/>
      <c r="K434" s="37"/>
      <c r="L434" s="47"/>
      <c r="M434" s="47"/>
      <c r="N434" s="263"/>
      <c r="O434" s="17"/>
      <c r="P434" s="18"/>
    </row>
    <row r="435" spans="1:16" ht="15.75" customHeight="1" x14ac:dyDescent="0.25">
      <c r="A435" s="18"/>
      <c r="B435" s="17"/>
      <c r="C435" s="17"/>
      <c r="D435" s="18"/>
      <c r="E435" s="18"/>
      <c r="F435" s="17"/>
      <c r="G435" s="18"/>
      <c r="H435" s="18"/>
      <c r="I435" s="18"/>
      <c r="J435" s="15"/>
      <c r="K435" s="37"/>
      <c r="L435" s="47"/>
      <c r="M435" s="47"/>
      <c r="N435" s="263"/>
      <c r="O435" s="17"/>
      <c r="P435" s="18"/>
    </row>
    <row r="436" spans="1:16" ht="15.75" customHeight="1" x14ac:dyDescent="0.25">
      <c r="A436" s="18"/>
      <c r="B436" s="17"/>
      <c r="C436" s="17"/>
      <c r="D436" s="18"/>
      <c r="E436" s="18"/>
      <c r="F436" s="17"/>
      <c r="G436" s="18"/>
      <c r="H436" s="18"/>
      <c r="I436" s="18"/>
      <c r="J436" s="15"/>
      <c r="K436" s="37"/>
      <c r="L436" s="47"/>
      <c r="M436" s="47"/>
      <c r="N436" s="263"/>
      <c r="O436" s="17"/>
      <c r="P436" s="18"/>
    </row>
    <row r="437" spans="1:16" ht="15.75" customHeight="1" x14ac:dyDescent="0.25">
      <c r="A437" s="18"/>
      <c r="B437" s="17"/>
      <c r="C437" s="17"/>
      <c r="D437" s="18"/>
      <c r="E437" s="18"/>
      <c r="F437" s="17"/>
      <c r="G437" s="18"/>
      <c r="H437" s="18"/>
      <c r="I437" s="18"/>
      <c r="J437" s="15"/>
      <c r="K437" s="37"/>
      <c r="L437" s="47"/>
      <c r="M437" s="47"/>
      <c r="N437" s="263"/>
      <c r="O437" s="17"/>
      <c r="P437" s="18"/>
    </row>
    <row r="438" spans="1:16" ht="15.75" customHeight="1" x14ac:dyDescent="0.25">
      <c r="A438" s="18"/>
      <c r="B438" s="17"/>
      <c r="C438" s="17"/>
      <c r="D438" s="18"/>
      <c r="E438" s="18"/>
      <c r="F438" s="17"/>
      <c r="G438" s="18"/>
      <c r="H438" s="18"/>
      <c r="I438" s="18"/>
      <c r="J438" s="15"/>
      <c r="K438" s="37"/>
      <c r="L438" s="47"/>
      <c r="M438" s="47"/>
      <c r="N438" s="263"/>
      <c r="O438" s="17"/>
      <c r="P438" s="18"/>
    </row>
    <row r="439" spans="1:16" ht="15.75" customHeight="1" x14ac:dyDescent="0.25">
      <c r="A439" s="18"/>
      <c r="B439" s="17"/>
      <c r="C439" s="17"/>
      <c r="D439" s="18"/>
      <c r="E439" s="18"/>
      <c r="F439" s="17"/>
      <c r="G439" s="18"/>
      <c r="H439" s="18"/>
      <c r="I439" s="18"/>
      <c r="J439" s="15"/>
      <c r="K439" s="37"/>
      <c r="L439" s="47"/>
      <c r="M439" s="47"/>
      <c r="N439" s="263"/>
      <c r="O439" s="17"/>
      <c r="P439" s="18"/>
    </row>
    <row r="440" spans="1:16" ht="15.75" customHeight="1" x14ac:dyDescent="0.25">
      <c r="A440" s="18"/>
      <c r="B440" s="17"/>
      <c r="C440" s="17"/>
      <c r="D440" s="18"/>
      <c r="E440" s="18"/>
      <c r="F440" s="17"/>
      <c r="G440" s="18"/>
      <c r="H440" s="18"/>
      <c r="I440" s="18"/>
      <c r="J440" s="15"/>
      <c r="K440" s="37"/>
      <c r="L440" s="47"/>
      <c r="M440" s="47"/>
      <c r="N440" s="263"/>
      <c r="O440" s="17"/>
      <c r="P440" s="18"/>
    </row>
    <row r="441" spans="1:16" ht="15.75" customHeight="1" x14ac:dyDescent="0.25">
      <c r="A441" s="18"/>
      <c r="B441" s="17"/>
      <c r="C441" s="17"/>
      <c r="D441" s="18"/>
      <c r="E441" s="18"/>
      <c r="F441" s="17"/>
      <c r="G441" s="18"/>
      <c r="H441" s="18"/>
      <c r="I441" s="18"/>
      <c r="J441" s="15"/>
      <c r="K441" s="37"/>
      <c r="L441" s="47"/>
      <c r="M441" s="47"/>
      <c r="N441" s="263"/>
      <c r="O441" s="17"/>
      <c r="P441" s="18"/>
    </row>
    <row r="442" spans="1:16" ht="15.75" customHeight="1" x14ac:dyDescent="0.25">
      <c r="A442" s="18"/>
      <c r="B442" s="17"/>
      <c r="C442" s="17"/>
      <c r="D442" s="18"/>
      <c r="E442" s="18"/>
      <c r="F442" s="17"/>
      <c r="G442" s="18"/>
      <c r="H442" s="18"/>
      <c r="I442" s="18"/>
      <c r="J442" s="15"/>
      <c r="K442" s="37"/>
      <c r="L442" s="47"/>
      <c r="M442" s="47"/>
      <c r="N442" s="263"/>
      <c r="O442" s="17"/>
      <c r="P442" s="18"/>
    </row>
    <row r="443" spans="1:16" ht="15.75" customHeight="1" x14ac:dyDescent="0.25">
      <c r="A443" s="18"/>
      <c r="B443" s="17"/>
      <c r="C443" s="17"/>
      <c r="D443" s="18"/>
      <c r="E443" s="18"/>
      <c r="F443" s="17"/>
      <c r="G443" s="18"/>
      <c r="H443" s="18"/>
      <c r="I443" s="18"/>
      <c r="J443" s="15"/>
      <c r="K443" s="37"/>
      <c r="L443" s="47"/>
      <c r="M443" s="47"/>
      <c r="N443" s="263"/>
      <c r="O443" s="17"/>
      <c r="P443" s="18"/>
    </row>
    <row r="444" spans="1:16" ht="15.75" customHeight="1" x14ac:dyDescent="0.25">
      <c r="A444" s="18"/>
      <c r="B444" s="17"/>
      <c r="C444" s="17"/>
      <c r="D444" s="18"/>
      <c r="E444" s="18"/>
      <c r="F444" s="17"/>
      <c r="G444" s="18"/>
      <c r="H444" s="18"/>
      <c r="I444" s="18"/>
      <c r="J444" s="15"/>
      <c r="K444" s="37"/>
      <c r="L444" s="47"/>
      <c r="M444" s="47"/>
      <c r="N444" s="263"/>
      <c r="O444" s="17"/>
      <c r="P444" s="18"/>
    </row>
    <row r="445" spans="1:16" ht="15.75" customHeight="1" x14ac:dyDescent="0.25">
      <c r="A445" s="18"/>
      <c r="B445" s="17"/>
      <c r="C445" s="17"/>
      <c r="D445" s="18"/>
      <c r="E445" s="18"/>
      <c r="F445" s="17"/>
      <c r="G445" s="18"/>
      <c r="H445" s="18"/>
      <c r="I445" s="18"/>
      <c r="J445" s="15"/>
      <c r="K445" s="37"/>
      <c r="L445" s="47"/>
      <c r="M445" s="47"/>
      <c r="N445" s="263"/>
      <c r="O445" s="17"/>
      <c r="P445" s="18"/>
    </row>
    <row r="446" spans="1:16" ht="15.75" customHeight="1" x14ac:dyDescent="0.25">
      <c r="A446" s="18"/>
      <c r="B446" s="17"/>
      <c r="C446" s="17"/>
      <c r="D446" s="18"/>
      <c r="E446" s="18"/>
      <c r="F446" s="17"/>
      <c r="G446" s="18"/>
      <c r="H446" s="18"/>
      <c r="I446" s="18"/>
      <c r="J446" s="15"/>
      <c r="K446" s="37"/>
      <c r="L446" s="47"/>
      <c r="M446" s="47"/>
      <c r="N446" s="263"/>
      <c r="O446" s="17"/>
      <c r="P446" s="18"/>
    </row>
    <row r="447" spans="1:16" ht="15.75" customHeight="1" x14ac:dyDescent="0.25">
      <c r="A447" s="18"/>
      <c r="B447" s="17"/>
      <c r="C447" s="17"/>
      <c r="D447" s="18"/>
      <c r="E447" s="18"/>
      <c r="F447" s="17"/>
      <c r="G447" s="18"/>
      <c r="H447" s="18"/>
      <c r="I447" s="18"/>
      <c r="J447" s="15"/>
      <c r="K447" s="37"/>
      <c r="L447" s="47"/>
      <c r="M447" s="47"/>
      <c r="N447" s="263"/>
      <c r="O447" s="17"/>
      <c r="P447" s="18"/>
    </row>
    <row r="448" spans="1:16" ht="15.75" customHeight="1" x14ac:dyDescent="0.25">
      <c r="A448" s="18"/>
      <c r="B448" s="17"/>
      <c r="C448" s="17"/>
      <c r="D448" s="18"/>
      <c r="E448" s="18"/>
      <c r="F448" s="17"/>
      <c r="G448" s="18"/>
      <c r="H448" s="18"/>
      <c r="I448" s="18"/>
      <c r="J448" s="15"/>
      <c r="K448" s="37"/>
      <c r="L448" s="47"/>
      <c r="M448" s="47"/>
      <c r="N448" s="263"/>
      <c r="O448" s="17"/>
      <c r="P448" s="18"/>
    </row>
    <row r="449" spans="1:16" ht="15.75" customHeight="1" x14ac:dyDescent="0.25">
      <c r="A449" s="18"/>
      <c r="B449" s="17"/>
      <c r="C449" s="17"/>
      <c r="D449" s="18"/>
      <c r="E449" s="18"/>
      <c r="F449" s="17"/>
      <c r="G449" s="18"/>
      <c r="H449" s="18"/>
      <c r="I449" s="18"/>
      <c r="J449" s="15"/>
      <c r="K449" s="37"/>
      <c r="L449" s="47"/>
      <c r="M449" s="47"/>
      <c r="N449" s="263"/>
      <c r="O449" s="17"/>
      <c r="P449" s="18"/>
    </row>
    <row r="450" spans="1:16" ht="15.75" customHeight="1" x14ac:dyDescent="0.25">
      <c r="A450" s="18"/>
      <c r="B450" s="17"/>
      <c r="C450" s="17"/>
      <c r="D450" s="18"/>
      <c r="E450" s="18"/>
      <c r="F450" s="17"/>
      <c r="G450" s="18"/>
      <c r="H450" s="18"/>
      <c r="I450" s="18"/>
      <c r="J450" s="15"/>
      <c r="K450" s="37"/>
      <c r="L450" s="47"/>
      <c r="M450" s="47"/>
      <c r="N450" s="263"/>
      <c r="O450" s="17"/>
      <c r="P450" s="18"/>
    </row>
    <row r="451" spans="1:16" ht="15.75" customHeight="1" x14ac:dyDescent="0.25">
      <c r="A451" s="18"/>
      <c r="B451" s="17"/>
      <c r="C451" s="17"/>
      <c r="D451" s="18"/>
      <c r="E451" s="18"/>
      <c r="F451" s="17"/>
      <c r="G451" s="18"/>
      <c r="H451" s="18"/>
      <c r="I451" s="18"/>
      <c r="J451" s="15"/>
      <c r="K451" s="37"/>
      <c r="L451" s="47"/>
      <c r="M451" s="47"/>
      <c r="N451" s="263"/>
      <c r="O451" s="17"/>
      <c r="P451" s="18"/>
    </row>
    <row r="452" spans="1:16" ht="15.75" customHeight="1" x14ac:dyDescent="0.25">
      <c r="A452" s="18"/>
      <c r="B452" s="17"/>
      <c r="C452" s="17"/>
      <c r="D452" s="18"/>
      <c r="E452" s="18"/>
      <c r="F452" s="17"/>
      <c r="G452" s="18"/>
      <c r="H452" s="18"/>
      <c r="I452" s="18"/>
      <c r="J452" s="15"/>
      <c r="K452" s="37"/>
      <c r="L452" s="47"/>
      <c r="M452" s="47"/>
      <c r="N452" s="263"/>
      <c r="O452" s="17"/>
      <c r="P452" s="18"/>
    </row>
    <row r="453" spans="1:16" ht="15.75" customHeight="1" x14ac:dyDescent="0.25">
      <c r="A453" s="18"/>
      <c r="B453" s="17"/>
      <c r="C453" s="17"/>
      <c r="D453" s="18"/>
      <c r="E453" s="18"/>
      <c r="F453" s="17"/>
      <c r="G453" s="18"/>
      <c r="H453" s="18"/>
      <c r="I453" s="18"/>
      <c r="J453" s="15"/>
      <c r="K453" s="37"/>
      <c r="L453" s="47"/>
      <c r="M453" s="47"/>
      <c r="N453" s="263"/>
      <c r="O453" s="17"/>
      <c r="P453" s="18"/>
    </row>
    <row r="454" spans="1:16" ht="15.75" customHeight="1" x14ac:dyDescent="0.25">
      <c r="A454" s="18"/>
      <c r="B454" s="17"/>
      <c r="C454" s="17"/>
      <c r="D454" s="18"/>
      <c r="E454" s="18"/>
      <c r="F454" s="17"/>
      <c r="G454" s="18"/>
      <c r="H454" s="18"/>
      <c r="I454" s="18"/>
      <c r="J454" s="15"/>
      <c r="K454" s="37"/>
      <c r="L454" s="47"/>
      <c r="M454" s="47"/>
      <c r="N454" s="263"/>
      <c r="O454" s="17"/>
      <c r="P454" s="18"/>
    </row>
    <row r="455" spans="1:16" ht="15.75" customHeight="1" x14ac:dyDescent="0.25">
      <c r="A455" s="18"/>
      <c r="B455" s="17"/>
      <c r="C455" s="17"/>
      <c r="D455" s="18"/>
      <c r="E455" s="18"/>
      <c r="F455" s="17"/>
      <c r="G455" s="18"/>
      <c r="H455" s="18"/>
      <c r="I455" s="18"/>
      <c r="J455" s="15"/>
      <c r="K455" s="37"/>
      <c r="L455" s="47"/>
      <c r="M455" s="47"/>
      <c r="N455" s="263"/>
      <c r="O455" s="17"/>
      <c r="P455" s="18"/>
    </row>
    <row r="456" spans="1:16" ht="15.75" customHeight="1" x14ac:dyDescent="0.25">
      <c r="A456" s="18"/>
      <c r="B456" s="17"/>
      <c r="C456" s="17"/>
      <c r="D456" s="18"/>
      <c r="E456" s="18"/>
      <c r="F456" s="17"/>
      <c r="G456" s="18"/>
      <c r="H456" s="18"/>
      <c r="I456" s="18"/>
      <c r="J456" s="15"/>
      <c r="K456" s="37"/>
      <c r="L456" s="47"/>
      <c r="M456" s="47"/>
      <c r="N456" s="263"/>
      <c r="O456" s="17"/>
      <c r="P456" s="18"/>
    </row>
    <row r="457" spans="1:16" ht="15.75" customHeight="1" x14ac:dyDescent="0.25">
      <c r="A457" s="18"/>
      <c r="B457" s="17"/>
      <c r="C457" s="17"/>
      <c r="D457" s="18"/>
      <c r="E457" s="18"/>
      <c r="F457" s="17"/>
      <c r="G457" s="18"/>
      <c r="H457" s="18"/>
      <c r="I457" s="18"/>
      <c r="J457" s="15"/>
      <c r="K457" s="37"/>
      <c r="L457" s="47"/>
      <c r="M457" s="47"/>
      <c r="N457" s="263"/>
      <c r="O457" s="17"/>
      <c r="P457" s="18"/>
    </row>
    <row r="458" spans="1:16" ht="15.75" customHeight="1" x14ac:dyDescent="0.25">
      <c r="A458" s="18"/>
      <c r="B458" s="17"/>
      <c r="C458" s="17"/>
      <c r="D458" s="18"/>
      <c r="E458" s="18"/>
      <c r="F458" s="17"/>
      <c r="G458" s="18"/>
      <c r="H458" s="18"/>
      <c r="I458" s="18"/>
      <c r="J458" s="15"/>
      <c r="K458" s="37"/>
      <c r="L458" s="47"/>
      <c r="M458" s="47"/>
      <c r="N458" s="263"/>
      <c r="O458" s="17"/>
      <c r="P458" s="18"/>
    </row>
    <row r="459" spans="1:16" ht="15.75" customHeight="1" x14ac:dyDescent="0.25">
      <c r="A459" s="18"/>
      <c r="B459" s="17"/>
      <c r="C459" s="17"/>
      <c r="D459" s="18"/>
      <c r="E459" s="18"/>
      <c r="F459" s="17"/>
      <c r="G459" s="18"/>
      <c r="H459" s="18"/>
      <c r="I459" s="18"/>
      <c r="J459" s="15"/>
      <c r="K459" s="37"/>
      <c r="L459" s="47"/>
      <c r="M459" s="47"/>
      <c r="N459" s="263"/>
      <c r="O459" s="17"/>
      <c r="P459" s="18"/>
    </row>
    <row r="460" spans="1:16" ht="15.75" customHeight="1" x14ac:dyDescent="0.25">
      <c r="A460" s="18"/>
      <c r="B460" s="17"/>
      <c r="C460" s="17"/>
      <c r="D460" s="18"/>
      <c r="E460" s="18"/>
      <c r="F460" s="17"/>
      <c r="G460" s="18"/>
      <c r="H460" s="18"/>
      <c r="I460" s="18"/>
      <c r="J460" s="15"/>
      <c r="K460" s="37"/>
      <c r="L460" s="47"/>
      <c r="M460" s="47"/>
      <c r="N460" s="263"/>
      <c r="O460" s="17"/>
      <c r="P460" s="18"/>
    </row>
    <row r="461" spans="1:16" ht="15.75" customHeight="1" x14ac:dyDescent="0.25">
      <c r="A461" s="18"/>
      <c r="B461" s="17"/>
      <c r="C461" s="17"/>
      <c r="D461" s="18"/>
      <c r="E461" s="18"/>
      <c r="F461" s="17"/>
      <c r="G461" s="18"/>
      <c r="H461" s="18"/>
      <c r="I461" s="18"/>
      <c r="J461" s="15"/>
      <c r="K461" s="37"/>
      <c r="L461" s="47"/>
      <c r="M461" s="47"/>
      <c r="N461" s="263"/>
      <c r="O461" s="17"/>
      <c r="P461" s="18"/>
    </row>
    <row r="462" spans="1:16" ht="15.75" customHeight="1" x14ac:dyDescent="0.25">
      <c r="A462" s="18"/>
      <c r="B462" s="17"/>
      <c r="C462" s="17"/>
      <c r="D462" s="18"/>
      <c r="E462" s="18"/>
      <c r="F462" s="17"/>
      <c r="G462" s="18"/>
      <c r="H462" s="18"/>
      <c r="I462" s="18"/>
      <c r="J462" s="15"/>
      <c r="K462" s="37"/>
      <c r="L462" s="47"/>
      <c r="M462" s="47"/>
      <c r="N462" s="263"/>
      <c r="O462" s="17"/>
      <c r="P462" s="18"/>
    </row>
    <row r="463" spans="1:16" ht="15.75" customHeight="1" x14ac:dyDescent="0.25">
      <c r="A463" s="18"/>
      <c r="B463" s="17"/>
      <c r="C463" s="17"/>
      <c r="D463" s="18"/>
      <c r="E463" s="18"/>
      <c r="F463" s="17"/>
      <c r="G463" s="18"/>
      <c r="H463" s="18"/>
      <c r="I463" s="18"/>
      <c r="J463" s="15"/>
      <c r="K463" s="37"/>
      <c r="L463" s="47"/>
      <c r="M463" s="47"/>
      <c r="N463" s="263"/>
      <c r="O463" s="17"/>
      <c r="P463" s="18"/>
    </row>
    <row r="464" spans="1:16" ht="15.75" customHeight="1" x14ac:dyDescent="0.25">
      <c r="A464" s="18"/>
      <c r="B464" s="17"/>
      <c r="C464" s="17"/>
      <c r="D464" s="18"/>
      <c r="E464" s="18"/>
      <c r="F464" s="17"/>
      <c r="G464" s="18"/>
      <c r="H464" s="18"/>
      <c r="I464" s="18"/>
      <c r="J464" s="15"/>
      <c r="K464" s="37"/>
      <c r="L464" s="47"/>
      <c r="M464" s="47"/>
      <c r="N464" s="263"/>
      <c r="O464" s="17"/>
      <c r="P464" s="18"/>
    </row>
    <row r="465" spans="1:16" ht="15.75" customHeight="1" x14ac:dyDescent="0.25">
      <c r="A465" s="18"/>
      <c r="B465" s="17"/>
      <c r="C465" s="17"/>
      <c r="D465" s="18"/>
      <c r="E465" s="18"/>
      <c r="F465" s="17"/>
      <c r="G465" s="18"/>
      <c r="H465" s="18"/>
      <c r="I465" s="18"/>
      <c r="J465" s="15"/>
      <c r="K465" s="37"/>
      <c r="L465" s="47"/>
      <c r="M465" s="47"/>
      <c r="N465" s="263"/>
      <c r="O465" s="17"/>
      <c r="P465" s="18"/>
    </row>
    <row r="466" spans="1:16" ht="15.75" customHeight="1" x14ac:dyDescent="0.25">
      <c r="A466" s="18"/>
      <c r="B466" s="17"/>
      <c r="C466" s="17"/>
      <c r="D466" s="18"/>
      <c r="E466" s="18"/>
      <c r="F466" s="17"/>
      <c r="G466" s="18"/>
      <c r="H466" s="18"/>
      <c r="I466" s="18"/>
      <c r="J466" s="15"/>
      <c r="K466" s="37"/>
      <c r="L466" s="47"/>
      <c r="M466" s="47"/>
      <c r="N466" s="263"/>
      <c r="O466" s="17"/>
      <c r="P466" s="18"/>
    </row>
    <row r="467" spans="1:16" ht="15.75" customHeight="1" x14ac:dyDescent="0.25">
      <c r="A467" s="18"/>
      <c r="B467" s="17"/>
      <c r="C467" s="17"/>
      <c r="D467" s="18"/>
      <c r="E467" s="18"/>
      <c r="F467" s="17"/>
      <c r="G467" s="18"/>
      <c r="H467" s="18"/>
      <c r="I467" s="18"/>
      <c r="J467" s="15"/>
      <c r="K467" s="37"/>
      <c r="L467" s="47"/>
      <c r="M467" s="47"/>
      <c r="N467" s="263"/>
      <c r="O467" s="17"/>
      <c r="P467" s="18"/>
    </row>
    <row r="468" spans="1:16" ht="15.75" customHeight="1" x14ac:dyDescent="0.25">
      <c r="A468" s="18"/>
      <c r="B468" s="17"/>
      <c r="C468" s="17"/>
      <c r="D468" s="18"/>
      <c r="E468" s="18"/>
      <c r="F468" s="17"/>
      <c r="G468" s="18"/>
      <c r="H468" s="18"/>
      <c r="I468" s="18"/>
      <c r="J468" s="15"/>
      <c r="K468" s="37"/>
      <c r="L468" s="47"/>
      <c r="M468" s="47"/>
      <c r="N468" s="263"/>
      <c r="O468" s="17"/>
      <c r="P468" s="18"/>
    </row>
    <row r="469" spans="1:16" ht="15.75" customHeight="1" x14ac:dyDescent="0.25">
      <c r="A469" s="18"/>
      <c r="B469" s="17"/>
      <c r="C469" s="17"/>
      <c r="D469" s="18"/>
      <c r="E469" s="18"/>
      <c r="F469" s="17"/>
      <c r="G469" s="18"/>
      <c r="H469" s="18"/>
      <c r="I469" s="18"/>
      <c r="J469" s="15"/>
      <c r="K469" s="37"/>
      <c r="L469" s="47"/>
      <c r="M469" s="47"/>
      <c r="N469" s="263"/>
      <c r="O469" s="17"/>
      <c r="P469" s="18"/>
    </row>
    <row r="470" spans="1:16" ht="15.75" customHeight="1" x14ac:dyDescent="0.25">
      <c r="A470" s="18"/>
      <c r="B470" s="17"/>
      <c r="C470" s="17"/>
      <c r="D470" s="18"/>
      <c r="E470" s="18"/>
      <c r="F470" s="17"/>
      <c r="G470" s="18"/>
      <c r="H470" s="18"/>
      <c r="I470" s="18"/>
      <c r="J470" s="15"/>
      <c r="K470" s="37"/>
      <c r="L470" s="47"/>
      <c r="M470" s="47"/>
      <c r="N470" s="263"/>
      <c r="O470" s="17"/>
      <c r="P470" s="18"/>
    </row>
    <row r="471" spans="1:16" ht="15.75" customHeight="1" x14ac:dyDescent="0.25">
      <c r="A471" s="18"/>
      <c r="B471" s="17"/>
      <c r="C471" s="17"/>
      <c r="D471" s="18"/>
      <c r="E471" s="18"/>
      <c r="F471" s="17"/>
      <c r="G471" s="18"/>
      <c r="H471" s="18"/>
      <c r="I471" s="18"/>
      <c r="J471" s="15"/>
      <c r="K471" s="37"/>
      <c r="L471" s="47"/>
      <c r="M471" s="47"/>
      <c r="N471" s="263"/>
      <c r="O471" s="17"/>
      <c r="P471" s="18"/>
    </row>
    <row r="472" spans="1:16" ht="15.75" customHeight="1" x14ac:dyDescent="0.25">
      <c r="A472" s="18"/>
      <c r="B472" s="17"/>
      <c r="C472" s="17"/>
      <c r="D472" s="18"/>
      <c r="E472" s="18"/>
      <c r="F472" s="17"/>
      <c r="G472" s="18"/>
      <c r="H472" s="18"/>
      <c r="I472" s="18"/>
      <c r="J472" s="15"/>
      <c r="K472" s="37"/>
      <c r="L472" s="47"/>
      <c r="M472" s="47"/>
      <c r="N472" s="263"/>
      <c r="O472" s="17"/>
      <c r="P472" s="18"/>
    </row>
    <row r="473" spans="1:16" ht="15.75" customHeight="1" x14ac:dyDescent="0.25">
      <c r="A473" s="18"/>
      <c r="B473" s="17"/>
      <c r="C473" s="17"/>
      <c r="D473" s="18"/>
      <c r="E473" s="18"/>
      <c r="F473" s="17"/>
      <c r="G473" s="18"/>
      <c r="H473" s="18"/>
      <c r="I473" s="18"/>
      <c r="J473" s="15"/>
      <c r="K473" s="37"/>
      <c r="L473" s="47"/>
      <c r="M473" s="47"/>
      <c r="N473" s="263"/>
      <c r="O473" s="17"/>
      <c r="P473" s="18"/>
    </row>
    <row r="474" spans="1:16" ht="15.75" customHeight="1" x14ac:dyDescent="0.25">
      <c r="A474" s="18"/>
      <c r="B474" s="17"/>
      <c r="C474" s="17"/>
      <c r="D474" s="18"/>
      <c r="E474" s="18"/>
      <c r="F474" s="17"/>
      <c r="G474" s="18"/>
      <c r="H474" s="18"/>
      <c r="I474" s="18"/>
      <c r="J474" s="15"/>
      <c r="K474" s="37"/>
      <c r="L474" s="47"/>
      <c r="M474" s="47"/>
      <c r="N474" s="263"/>
      <c r="O474" s="17"/>
      <c r="P474" s="18"/>
    </row>
    <row r="475" spans="1:16" ht="15.75" customHeight="1" x14ac:dyDescent="0.25">
      <c r="A475" s="18"/>
      <c r="B475" s="17"/>
      <c r="C475" s="17"/>
      <c r="D475" s="18"/>
      <c r="E475" s="18"/>
      <c r="F475" s="17"/>
      <c r="G475" s="18"/>
      <c r="H475" s="18"/>
      <c r="I475" s="18"/>
      <c r="J475" s="15"/>
      <c r="K475" s="37"/>
      <c r="L475" s="47"/>
      <c r="M475" s="47"/>
      <c r="N475" s="263"/>
      <c r="O475" s="17"/>
      <c r="P475" s="18"/>
    </row>
    <row r="476" spans="1:16" ht="15.75" customHeight="1" x14ac:dyDescent="0.25">
      <c r="A476" s="18"/>
      <c r="B476" s="17"/>
      <c r="C476" s="17"/>
      <c r="D476" s="18"/>
      <c r="E476" s="18"/>
      <c r="F476" s="17"/>
      <c r="G476" s="18"/>
      <c r="H476" s="18"/>
      <c r="I476" s="18"/>
      <c r="J476" s="15"/>
      <c r="K476" s="37"/>
      <c r="L476" s="47"/>
      <c r="M476" s="47"/>
      <c r="N476" s="263"/>
      <c r="O476" s="17"/>
      <c r="P476" s="18"/>
    </row>
    <row r="477" spans="1:16" ht="15.75" customHeight="1" x14ac:dyDescent="0.25">
      <c r="A477" s="18"/>
      <c r="B477" s="17"/>
      <c r="C477" s="17"/>
      <c r="D477" s="18"/>
      <c r="E477" s="18"/>
      <c r="F477" s="17"/>
      <c r="G477" s="18"/>
      <c r="H477" s="18"/>
      <c r="I477" s="18"/>
      <c r="J477" s="15"/>
      <c r="K477" s="37"/>
      <c r="L477" s="47"/>
      <c r="M477" s="47"/>
      <c r="N477" s="263"/>
      <c r="O477" s="17"/>
      <c r="P477" s="18"/>
    </row>
    <row r="478" spans="1:16" ht="15.75" customHeight="1" x14ac:dyDescent="0.25">
      <c r="A478" s="18"/>
      <c r="B478" s="17"/>
      <c r="C478" s="17"/>
      <c r="D478" s="18"/>
      <c r="E478" s="18"/>
      <c r="F478" s="17"/>
      <c r="G478" s="18"/>
      <c r="H478" s="18"/>
      <c r="I478" s="18"/>
      <c r="J478" s="15"/>
      <c r="K478" s="37"/>
      <c r="L478" s="47"/>
      <c r="M478" s="47"/>
      <c r="N478" s="263"/>
      <c r="O478" s="17"/>
      <c r="P478" s="18"/>
    </row>
    <row r="479" spans="1:16" ht="15.75" customHeight="1" x14ac:dyDescent="0.25">
      <c r="A479" s="18"/>
      <c r="B479" s="17"/>
      <c r="C479" s="17"/>
      <c r="D479" s="18"/>
      <c r="E479" s="18"/>
      <c r="F479" s="17"/>
      <c r="G479" s="18"/>
      <c r="H479" s="18"/>
      <c r="I479" s="18"/>
      <c r="J479" s="15"/>
      <c r="K479" s="37"/>
      <c r="L479" s="47"/>
      <c r="M479" s="47"/>
      <c r="N479" s="263"/>
      <c r="O479" s="17"/>
      <c r="P479" s="18"/>
    </row>
    <row r="480" spans="1:16" ht="15.75" customHeight="1" x14ac:dyDescent="0.25">
      <c r="A480" s="18"/>
      <c r="B480" s="17"/>
      <c r="C480" s="17"/>
      <c r="D480" s="18"/>
      <c r="E480" s="18"/>
      <c r="F480" s="17"/>
      <c r="G480" s="18"/>
      <c r="H480" s="18"/>
      <c r="I480" s="18"/>
      <c r="J480" s="15"/>
      <c r="K480" s="37"/>
      <c r="L480" s="47"/>
      <c r="M480" s="47"/>
      <c r="N480" s="263"/>
      <c r="O480" s="17"/>
      <c r="P480" s="18"/>
    </row>
    <row r="481" spans="1:16" ht="15.75" customHeight="1" x14ac:dyDescent="0.25">
      <c r="A481" s="18"/>
      <c r="B481" s="17"/>
      <c r="C481" s="17"/>
      <c r="D481" s="18"/>
      <c r="E481" s="18"/>
      <c r="F481" s="17"/>
      <c r="G481" s="18"/>
      <c r="H481" s="18"/>
      <c r="I481" s="18"/>
      <c r="J481" s="15"/>
      <c r="K481" s="37"/>
      <c r="L481" s="47"/>
      <c r="M481" s="47"/>
      <c r="N481" s="263"/>
      <c r="O481" s="17"/>
      <c r="P481" s="18"/>
    </row>
    <row r="482" spans="1:16" ht="15.75" customHeight="1" x14ac:dyDescent="0.25">
      <c r="A482" s="18"/>
      <c r="B482" s="17"/>
      <c r="C482" s="17"/>
      <c r="D482" s="18"/>
      <c r="E482" s="18"/>
      <c r="F482" s="17"/>
      <c r="G482" s="18"/>
      <c r="H482" s="18"/>
      <c r="I482" s="18"/>
      <c r="J482" s="15"/>
      <c r="K482" s="37"/>
      <c r="L482" s="47"/>
      <c r="M482" s="47"/>
      <c r="N482" s="263"/>
      <c r="O482" s="17"/>
      <c r="P482" s="18"/>
    </row>
    <row r="483" spans="1:16" ht="15.75" customHeight="1" x14ac:dyDescent="0.25">
      <c r="A483" s="18"/>
      <c r="B483" s="17"/>
      <c r="C483" s="17"/>
      <c r="D483" s="18"/>
      <c r="E483" s="18"/>
      <c r="F483" s="17"/>
      <c r="G483" s="18"/>
      <c r="H483" s="18"/>
      <c r="I483" s="18"/>
      <c r="J483" s="15"/>
      <c r="K483" s="37"/>
      <c r="L483" s="47"/>
      <c r="M483" s="47"/>
      <c r="N483" s="263"/>
      <c r="O483" s="17"/>
      <c r="P483" s="18"/>
    </row>
    <row r="484" spans="1:16" ht="15.75" customHeight="1" x14ac:dyDescent="0.25">
      <c r="A484" s="18"/>
      <c r="B484" s="17"/>
      <c r="C484" s="17"/>
      <c r="D484" s="18"/>
      <c r="E484" s="18"/>
      <c r="F484" s="17"/>
      <c r="G484" s="18"/>
      <c r="H484" s="18"/>
      <c r="I484" s="18"/>
      <c r="J484" s="15"/>
      <c r="K484" s="37"/>
      <c r="L484" s="47"/>
      <c r="M484" s="47"/>
      <c r="N484" s="263"/>
      <c r="O484" s="17"/>
      <c r="P484" s="18"/>
    </row>
    <row r="485" spans="1:16" ht="15.75" customHeight="1" x14ac:dyDescent="0.25">
      <c r="A485" s="18"/>
      <c r="B485" s="17"/>
      <c r="C485" s="17"/>
      <c r="D485" s="18"/>
      <c r="E485" s="18"/>
      <c r="F485" s="17"/>
      <c r="G485" s="18"/>
      <c r="H485" s="18"/>
      <c r="I485" s="18"/>
      <c r="J485" s="15"/>
      <c r="K485" s="37"/>
      <c r="L485" s="47"/>
      <c r="M485" s="47"/>
      <c r="N485" s="263"/>
      <c r="O485" s="17"/>
      <c r="P485" s="18"/>
    </row>
    <row r="486" spans="1:16" ht="15.75" customHeight="1" x14ac:dyDescent="0.25">
      <c r="A486" s="18"/>
      <c r="B486" s="17"/>
      <c r="C486" s="17"/>
      <c r="D486" s="18"/>
      <c r="E486" s="18"/>
      <c r="F486" s="17"/>
      <c r="G486" s="18"/>
      <c r="H486" s="18"/>
      <c r="I486" s="18"/>
      <c r="J486" s="15"/>
      <c r="K486" s="37"/>
      <c r="L486" s="47"/>
      <c r="M486" s="47"/>
      <c r="N486" s="263"/>
      <c r="O486" s="17"/>
      <c r="P486" s="18"/>
    </row>
    <row r="487" spans="1:16" ht="15.75" customHeight="1" x14ac:dyDescent="0.25">
      <c r="A487" s="18"/>
      <c r="B487" s="17"/>
      <c r="C487" s="17"/>
      <c r="D487" s="18"/>
      <c r="E487" s="18"/>
      <c r="F487" s="17"/>
      <c r="G487" s="18"/>
      <c r="H487" s="18"/>
      <c r="I487" s="18"/>
      <c r="J487" s="15"/>
      <c r="K487" s="37"/>
      <c r="L487" s="47"/>
      <c r="M487" s="47"/>
      <c r="N487" s="263"/>
      <c r="O487" s="17"/>
      <c r="P487" s="18"/>
    </row>
    <row r="488" spans="1:16" ht="15.75" customHeight="1" x14ac:dyDescent="0.25">
      <c r="A488" s="18"/>
      <c r="B488" s="17"/>
      <c r="C488" s="17"/>
      <c r="D488" s="18"/>
      <c r="E488" s="18"/>
      <c r="F488" s="17"/>
      <c r="G488" s="18"/>
      <c r="H488" s="18"/>
      <c r="I488" s="18"/>
      <c r="J488" s="15"/>
      <c r="K488" s="37"/>
      <c r="L488" s="47"/>
      <c r="M488" s="47"/>
      <c r="N488" s="263"/>
      <c r="O488" s="17"/>
      <c r="P488" s="18"/>
    </row>
    <row r="489" spans="1:16" ht="15.75" customHeight="1" x14ac:dyDescent="0.25">
      <c r="A489" s="18"/>
      <c r="B489" s="17"/>
      <c r="C489" s="17"/>
      <c r="D489" s="18"/>
      <c r="E489" s="18"/>
      <c r="F489" s="17"/>
      <c r="G489" s="18"/>
      <c r="H489" s="18"/>
      <c r="I489" s="18"/>
      <c r="J489" s="15"/>
      <c r="K489" s="37"/>
      <c r="L489" s="47"/>
      <c r="M489" s="47"/>
      <c r="N489" s="263"/>
      <c r="O489" s="17"/>
      <c r="P489" s="18"/>
    </row>
    <row r="490" spans="1:16" ht="15.75" customHeight="1" x14ac:dyDescent="0.25">
      <c r="A490" s="18"/>
      <c r="B490" s="17"/>
      <c r="C490" s="17"/>
      <c r="D490" s="18"/>
      <c r="E490" s="18"/>
      <c r="F490" s="17"/>
      <c r="G490" s="18"/>
      <c r="H490" s="18"/>
      <c r="I490" s="18"/>
      <c r="J490" s="15"/>
      <c r="K490" s="37"/>
      <c r="L490" s="47"/>
      <c r="M490" s="47"/>
      <c r="N490" s="263"/>
      <c r="O490" s="17"/>
      <c r="P490" s="18"/>
    </row>
    <row r="491" spans="1:16" ht="15.75" customHeight="1" x14ac:dyDescent="0.25">
      <c r="A491" s="18"/>
      <c r="B491" s="17"/>
      <c r="C491" s="17"/>
      <c r="D491" s="18"/>
      <c r="E491" s="18"/>
      <c r="F491" s="17"/>
      <c r="G491" s="18"/>
      <c r="H491" s="18"/>
      <c r="I491" s="18"/>
      <c r="J491" s="15"/>
      <c r="K491" s="37"/>
      <c r="L491" s="47"/>
      <c r="M491" s="47"/>
      <c r="N491" s="263"/>
      <c r="O491" s="17"/>
      <c r="P491" s="18"/>
    </row>
    <row r="492" spans="1:16" ht="15.75" customHeight="1" x14ac:dyDescent="0.25">
      <c r="A492" s="18"/>
      <c r="B492" s="17"/>
      <c r="C492" s="17"/>
      <c r="D492" s="18"/>
      <c r="E492" s="18"/>
      <c r="F492" s="17"/>
      <c r="G492" s="18"/>
      <c r="H492" s="18"/>
      <c r="I492" s="18"/>
      <c r="J492" s="15"/>
      <c r="K492" s="37"/>
      <c r="L492" s="47"/>
      <c r="M492" s="47"/>
      <c r="N492" s="263"/>
      <c r="O492" s="17"/>
      <c r="P492" s="18"/>
    </row>
    <row r="493" spans="1:16" ht="15.75" customHeight="1" x14ac:dyDescent="0.25">
      <c r="A493" s="18"/>
      <c r="B493" s="17"/>
      <c r="C493" s="17"/>
      <c r="D493" s="18"/>
      <c r="E493" s="18"/>
      <c r="F493" s="17"/>
      <c r="G493" s="18"/>
      <c r="H493" s="18"/>
      <c r="I493" s="18"/>
      <c r="J493" s="15"/>
      <c r="K493" s="37"/>
      <c r="L493" s="47"/>
      <c r="M493" s="47"/>
      <c r="N493" s="263"/>
      <c r="O493" s="17"/>
      <c r="P493" s="18"/>
    </row>
    <row r="494" spans="1:16" ht="15.75" customHeight="1" x14ac:dyDescent="0.25">
      <c r="A494" s="18"/>
      <c r="B494" s="17"/>
      <c r="C494" s="17"/>
      <c r="D494" s="18"/>
      <c r="E494" s="18"/>
      <c r="F494" s="17"/>
      <c r="G494" s="18"/>
      <c r="H494" s="18"/>
      <c r="I494" s="18"/>
      <c r="J494" s="15"/>
      <c r="K494" s="37"/>
      <c r="L494" s="47"/>
      <c r="M494" s="47"/>
      <c r="N494" s="263"/>
      <c r="O494" s="17"/>
      <c r="P494" s="18"/>
    </row>
    <row r="495" spans="1:16" ht="15.75" customHeight="1" x14ac:dyDescent="0.25">
      <c r="A495" s="18"/>
      <c r="B495" s="17"/>
      <c r="C495" s="17"/>
      <c r="D495" s="18"/>
      <c r="E495" s="18"/>
      <c r="F495" s="17"/>
      <c r="G495" s="18"/>
      <c r="H495" s="18"/>
      <c r="I495" s="18"/>
      <c r="J495" s="15"/>
      <c r="K495" s="37"/>
      <c r="L495" s="47"/>
      <c r="M495" s="47"/>
      <c r="N495" s="263"/>
      <c r="O495" s="17"/>
      <c r="P495" s="18"/>
    </row>
    <row r="496" spans="1:16" ht="15.75" customHeight="1" x14ac:dyDescent="0.25">
      <c r="A496" s="18"/>
      <c r="B496" s="17"/>
      <c r="C496" s="17"/>
      <c r="D496" s="18"/>
      <c r="E496" s="18"/>
      <c r="F496" s="17"/>
      <c r="G496" s="18"/>
      <c r="H496" s="18"/>
      <c r="I496" s="18"/>
      <c r="J496" s="15"/>
      <c r="K496" s="37"/>
      <c r="L496" s="47"/>
      <c r="M496" s="47"/>
      <c r="N496" s="263"/>
      <c r="O496" s="17"/>
      <c r="P496" s="18"/>
    </row>
    <row r="497" spans="1:16" ht="15.75" customHeight="1" x14ac:dyDescent="0.25">
      <c r="A497" s="18"/>
      <c r="B497" s="17"/>
      <c r="C497" s="17"/>
      <c r="D497" s="18"/>
      <c r="E497" s="18"/>
      <c r="F497" s="17"/>
      <c r="G497" s="18"/>
      <c r="H497" s="18"/>
      <c r="I497" s="18"/>
      <c r="J497" s="15"/>
      <c r="K497" s="37"/>
      <c r="L497" s="47"/>
      <c r="M497" s="47"/>
      <c r="N497" s="263"/>
      <c r="O497" s="17"/>
      <c r="P497" s="18"/>
    </row>
    <row r="498" spans="1:16" ht="15.75" customHeight="1" x14ac:dyDescent="0.25">
      <c r="A498" s="18"/>
      <c r="B498" s="17"/>
      <c r="C498" s="17"/>
      <c r="D498" s="18"/>
      <c r="E498" s="18"/>
      <c r="F498" s="17"/>
      <c r="G498" s="18"/>
      <c r="H498" s="18"/>
      <c r="I498" s="18"/>
      <c r="J498" s="15"/>
      <c r="K498" s="37"/>
      <c r="L498" s="47"/>
      <c r="M498" s="47"/>
      <c r="N498" s="263"/>
      <c r="O498" s="17"/>
      <c r="P498" s="18"/>
    </row>
    <row r="499" spans="1:16" ht="15.75" customHeight="1" x14ac:dyDescent="0.25">
      <c r="A499" s="18"/>
      <c r="B499" s="17"/>
      <c r="C499" s="17"/>
      <c r="D499" s="18"/>
      <c r="E499" s="18"/>
      <c r="F499" s="17"/>
      <c r="G499" s="18"/>
      <c r="H499" s="18"/>
      <c r="I499" s="18"/>
      <c r="J499" s="15"/>
      <c r="K499" s="37"/>
      <c r="L499" s="47"/>
      <c r="M499" s="47"/>
      <c r="N499" s="263"/>
      <c r="O499" s="17"/>
      <c r="P499" s="18"/>
    </row>
    <row r="500" spans="1:16" ht="15.75" customHeight="1" x14ac:dyDescent="0.25">
      <c r="A500" s="18"/>
      <c r="B500" s="17"/>
      <c r="C500" s="17"/>
      <c r="D500" s="18"/>
      <c r="E500" s="18"/>
      <c r="F500" s="17"/>
      <c r="G500" s="18"/>
      <c r="H500" s="18"/>
      <c r="I500" s="18"/>
      <c r="J500" s="15"/>
      <c r="K500" s="37"/>
      <c r="L500" s="47"/>
      <c r="M500" s="47"/>
      <c r="N500" s="263"/>
      <c r="O500" s="17"/>
      <c r="P500" s="18"/>
    </row>
    <row r="501" spans="1:16" ht="15.75" customHeight="1" x14ac:dyDescent="0.25">
      <c r="A501" s="18"/>
      <c r="B501" s="17"/>
      <c r="C501" s="17"/>
      <c r="D501" s="18"/>
      <c r="E501" s="18"/>
      <c r="F501" s="17"/>
      <c r="G501" s="18"/>
      <c r="H501" s="18"/>
      <c r="I501" s="18"/>
      <c r="J501" s="15"/>
      <c r="K501" s="37"/>
      <c r="L501" s="47"/>
      <c r="M501" s="47"/>
      <c r="N501" s="263"/>
      <c r="O501" s="17"/>
      <c r="P501" s="18"/>
    </row>
    <row r="502" spans="1:16" ht="15.75" customHeight="1" x14ac:dyDescent="0.25">
      <c r="A502" s="18"/>
      <c r="B502" s="17"/>
      <c r="C502" s="17"/>
      <c r="D502" s="18"/>
      <c r="E502" s="18"/>
      <c r="F502" s="17"/>
      <c r="G502" s="18"/>
      <c r="H502" s="18"/>
      <c r="I502" s="18"/>
      <c r="J502" s="15"/>
      <c r="K502" s="37"/>
      <c r="L502" s="47"/>
      <c r="M502" s="47"/>
      <c r="N502" s="263"/>
      <c r="O502" s="17"/>
      <c r="P502" s="18"/>
    </row>
    <row r="503" spans="1:16" ht="15.75" customHeight="1" x14ac:dyDescent="0.25">
      <c r="A503" s="18"/>
      <c r="B503" s="17"/>
      <c r="C503" s="17"/>
      <c r="D503" s="18"/>
      <c r="E503" s="18"/>
      <c r="F503" s="17"/>
      <c r="G503" s="18"/>
      <c r="H503" s="18"/>
      <c r="I503" s="18"/>
      <c r="J503" s="15"/>
      <c r="K503" s="37"/>
      <c r="L503" s="47"/>
      <c r="M503" s="47"/>
      <c r="N503" s="263"/>
      <c r="O503" s="17"/>
      <c r="P503" s="18"/>
    </row>
    <row r="504" spans="1:16" ht="15.75" customHeight="1" x14ac:dyDescent="0.25">
      <c r="A504" s="18"/>
      <c r="B504" s="17"/>
      <c r="C504" s="17"/>
      <c r="D504" s="18"/>
      <c r="E504" s="18"/>
      <c r="F504" s="17"/>
      <c r="G504" s="18"/>
      <c r="H504" s="18"/>
      <c r="I504" s="18"/>
      <c r="J504" s="15"/>
      <c r="K504" s="37"/>
      <c r="L504" s="47"/>
      <c r="M504" s="47"/>
      <c r="N504" s="263"/>
      <c r="O504" s="17"/>
      <c r="P504" s="18"/>
    </row>
    <row r="505" spans="1:16" ht="15.75" customHeight="1" x14ac:dyDescent="0.25">
      <c r="A505" s="18"/>
      <c r="B505" s="17"/>
      <c r="C505" s="17"/>
      <c r="D505" s="18"/>
      <c r="E505" s="18"/>
      <c r="F505" s="17"/>
      <c r="G505" s="18"/>
      <c r="H505" s="18"/>
      <c r="I505" s="18"/>
      <c r="J505" s="15"/>
      <c r="K505" s="37"/>
      <c r="L505" s="47"/>
      <c r="M505" s="47"/>
      <c r="N505" s="263"/>
      <c r="O505" s="17"/>
      <c r="P505" s="18"/>
    </row>
    <row r="506" spans="1:16" ht="15.75" customHeight="1" x14ac:dyDescent="0.25">
      <c r="A506" s="18"/>
      <c r="B506" s="17"/>
      <c r="C506" s="17"/>
      <c r="D506" s="18"/>
      <c r="E506" s="18"/>
      <c r="F506" s="17"/>
      <c r="G506" s="18"/>
      <c r="H506" s="18"/>
      <c r="I506" s="18"/>
      <c r="J506" s="15"/>
      <c r="K506" s="37"/>
      <c r="L506" s="47"/>
      <c r="M506" s="47"/>
      <c r="N506" s="263"/>
      <c r="O506" s="17"/>
      <c r="P506" s="18"/>
    </row>
    <row r="507" spans="1:16" ht="15.75" customHeight="1" x14ac:dyDescent="0.25">
      <c r="A507" s="18"/>
      <c r="B507" s="17"/>
      <c r="C507" s="17"/>
      <c r="D507" s="18"/>
      <c r="E507" s="18"/>
      <c r="F507" s="17"/>
      <c r="G507" s="18"/>
      <c r="H507" s="18"/>
      <c r="I507" s="18"/>
      <c r="J507" s="15"/>
      <c r="K507" s="37"/>
      <c r="L507" s="47"/>
      <c r="M507" s="47"/>
      <c r="N507" s="263"/>
      <c r="O507" s="17"/>
      <c r="P507" s="18"/>
    </row>
    <row r="508" spans="1:16" ht="15.75" customHeight="1" x14ac:dyDescent="0.25">
      <c r="A508" s="18"/>
      <c r="B508" s="17"/>
      <c r="C508" s="17"/>
      <c r="D508" s="18"/>
      <c r="E508" s="18"/>
      <c r="F508" s="17"/>
      <c r="G508" s="18"/>
      <c r="H508" s="18"/>
      <c r="I508" s="18"/>
      <c r="J508" s="15"/>
      <c r="K508" s="37"/>
      <c r="L508" s="47"/>
      <c r="M508" s="47"/>
      <c r="N508" s="263"/>
      <c r="O508" s="17"/>
      <c r="P508" s="18"/>
    </row>
    <row r="509" spans="1:16" ht="15.75" customHeight="1" x14ac:dyDescent="0.25">
      <c r="A509" s="18"/>
      <c r="B509" s="17"/>
      <c r="C509" s="17"/>
      <c r="D509" s="18"/>
      <c r="E509" s="18"/>
      <c r="F509" s="17"/>
      <c r="G509" s="18"/>
      <c r="H509" s="18"/>
      <c r="I509" s="18"/>
      <c r="J509" s="15"/>
      <c r="K509" s="37"/>
      <c r="L509" s="47"/>
      <c r="M509" s="47"/>
      <c r="N509" s="263"/>
      <c r="O509" s="17"/>
      <c r="P509" s="18"/>
    </row>
    <row r="510" spans="1:16" ht="15.75" customHeight="1" x14ac:dyDescent="0.25">
      <c r="A510" s="18"/>
      <c r="B510" s="17"/>
      <c r="C510" s="17"/>
      <c r="D510" s="18"/>
      <c r="E510" s="18"/>
      <c r="F510" s="17"/>
      <c r="G510" s="18"/>
      <c r="H510" s="18"/>
      <c r="I510" s="18"/>
      <c r="J510" s="15"/>
      <c r="K510" s="37"/>
      <c r="L510" s="47"/>
      <c r="M510" s="47"/>
      <c r="N510" s="263"/>
      <c r="O510" s="17"/>
      <c r="P510" s="18"/>
    </row>
    <row r="511" spans="1:16" ht="15.75" customHeight="1" x14ac:dyDescent="0.25">
      <c r="A511" s="18"/>
      <c r="B511" s="17"/>
      <c r="C511" s="17"/>
      <c r="D511" s="18"/>
      <c r="E511" s="18"/>
      <c r="F511" s="17"/>
      <c r="G511" s="18"/>
      <c r="H511" s="18"/>
      <c r="I511" s="18"/>
      <c r="J511" s="15"/>
      <c r="K511" s="37"/>
      <c r="L511" s="47"/>
      <c r="M511" s="47"/>
      <c r="N511" s="263"/>
      <c r="O511" s="17"/>
      <c r="P511" s="18"/>
    </row>
    <row r="512" spans="1:16" ht="15.75" customHeight="1" x14ac:dyDescent="0.25">
      <c r="A512" s="18"/>
      <c r="B512" s="17"/>
      <c r="C512" s="17"/>
      <c r="D512" s="18"/>
      <c r="E512" s="18"/>
      <c r="F512" s="17"/>
      <c r="G512" s="18"/>
      <c r="H512" s="18"/>
      <c r="I512" s="18"/>
      <c r="J512" s="15"/>
      <c r="K512" s="37"/>
      <c r="L512" s="47"/>
      <c r="M512" s="47"/>
      <c r="N512" s="263"/>
      <c r="O512" s="17"/>
      <c r="P512" s="18"/>
    </row>
    <row r="513" spans="1:16" ht="15.75" customHeight="1" x14ac:dyDescent="0.25">
      <c r="A513" s="18"/>
      <c r="B513" s="17"/>
      <c r="C513" s="17"/>
      <c r="D513" s="18"/>
      <c r="E513" s="18"/>
      <c r="F513" s="17"/>
      <c r="G513" s="18"/>
      <c r="H513" s="18"/>
      <c r="I513" s="18"/>
      <c r="J513" s="15"/>
      <c r="K513" s="37"/>
      <c r="L513" s="47"/>
      <c r="M513" s="47"/>
      <c r="N513" s="263"/>
      <c r="O513" s="17"/>
      <c r="P513" s="18"/>
    </row>
    <row r="514" spans="1:16" ht="15.75" customHeight="1" x14ac:dyDescent="0.25">
      <c r="A514" s="18"/>
      <c r="B514" s="17"/>
      <c r="C514" s="17"/>
      <c r="D514" s="18"/>
      <c r="E514" s="18"/>
      <c r="F514" s="17"/>
      <c r="G514" s="18"/>
      <c r="H514" s="18"/>
      <c r="I514" s="18"/>
      <c r="J514" s="15"/>
      <c r="K514" s="37"/>
      <c r="L514" s="47"/>
      <c r="M514" s="47"/>
      <c r="N514" s="263"/>
      <c r="O514" s="17"/>
      <c r="P514" s="18"/>
    </row>
    <row r="515" spans="1:16" ht="15.75" customHeight="1" x14ac:dyDescent="0.25">
      <c r="A515" s="18"/>
      <c r="B515" s="17"/>
      <c r="C515" s="17"/>
      <c r="D515" s="18"/>
      <c r="E515" s="18"/>
      <c r="F515" s="17"/>
      <c r="G515" s="18"/>
      <c r="H515" s="18"/>
      <c r="I515" s="18"/>
      <c r="J515" s="15"/>
      <c r="K515" s="37"/>
      <c r="L515" s="47"/>
      <c r="M515" s="47"/>
      <c r="N515" s="263"/>
      <c r="O515" s="17"/>
      <c r="P515" s="18"/>
    </row>
    <row r="516" spans="1:16" ht="15.75" customHeight="1" x14ac:dyDescent="0.25">
      <c r="A516" s="18"/>
      <c r="B516" s="17"/>
      <c r="C516" s="17"/>
      <c r="D516" s="18"/>
      <c r="E516" s="18"/>
      <c r="F516" s="17"/>
      <c r="G516" s="18"/>
      <c r="H516" s="18"/>
      <c r="I516" s="18"/>
      <c r="J516" s="15"/>
      <c r="K516" s="37"/>
      <c r="L516" s="47"/>
      <c r="M516" s="47"/>
      <c r="N516" s="263"/>
      <c r="O516" s="17"/>
      <c r="P516" s="18"/>
    </row>
    <row r="517" spans="1:16" ht="15.75" customHeight="1" x14ac:dyDescent="0.25">
      <c r="A517" s="18"/>
      <c r="B517" s="17"/>
      <c r="C517" s="17"/>
      <c r="D517" s="18"/>
      <c r="E517" s="18"/>
      <c r="F517" s="17"/>
      <c r="G517" s="18"/>
      <c r="H517" s="18"/>
      <c r="I517" s="18"/>
      <c r="J517" s="15"/>
      <c r="K517" s="37"/>
      <c r="L517" s="47"/>
      <c r="M517" s="47"/>
      <c r="N517" s="263"/>
      <c r="O517" s="17"/>
      <c r="P517" s="18"/>
    </row>
    <row r="518" spans="1:16" ht="15.75" customHeight="1" x14ac:dyDescent="0.25">
      <c r="A518" s="18"/>
      <c r="B518" s="17"/>
      <c r="C518" s="17"/>
      <c r="D518" s="18"/>
      <c r="E518" s="18"/>
      <c r="F518" s="17"/>
      <c r="G518" s="18"/>
      <c r="H518" s="18"/>
      <c r="I518" s="18"/>
      <c r="J518" s="15"/>
      <c r="K518" s="37"/>
      <c r="L518" s="47"/>
      <c r="M518" s="47"/>
      <c r="N518" s="263"/>
      <c r="O518" s="17"/>
      <c r="P518" s="18"/>
    </row>
    <row r="519" spans="1:16" ht="15.75" customHeight="1" x14ac:dyDescent="0.25">
      <c r="A519" s="18"/>
      <c r="B519" s="17"/>
      <c r="C519" s="17"/>
      <c r="D519" s="18"/>
      <c r="E519" s="18"/>
      <c r="F519" s="17"/>
      <c r="G519" s="18"/>
      <c r="H519" s="18"/>
      <c r="I519" s="18"/>
      <c r="J519" s="15"/>
      <c r="K519" s="37"/>
      <c r="L519" s="47"/>
      <c r="M519" s="47"/>
      <c r="N519" s="263"/>
      <c r="O519" s="17"/>
      <c r="P519" s="18"/>
    </row>
    <row r="520" spans="1:16" ht="15.75" customHeight="1" x14ac:dyDescent="0.25">
      <c r="A520" s="18"/>
      <c r="B520" s="17"/>
      <c r="C520" s="17"/>
      <c r="D520" s="18"/>
      <c r="E520" s="18"/>
      <c r="F520" s="17"/>
      <c r="G520" s="18"/>
      <c r="H520" s="18"/>
      <c r="I520" s="18"/>
      <c r="J520" s="15"/>
      <c r="K520" s="37"/>
      <c r="L520" s="47"/>
      <c r="M520" s="47"/>
      <c r="N520" s="263"/>
      <c r="O520" s="17"/>
      <c r="P520" s="18"/>
    </row>
    <row r="521" spans="1:16" ht="15.75" customHeight="1" x14ac:dyDescent="0.25">
      <c r="A521" s="18"/>
      <c r="B521" s="17"/>
      <c r="C521" s="17"/>
      <c r="D521" s="18"/>
      <c r="E521" s="18"/>
      <c r="F521" s="17"/>
      <c r="G521" s="18"/>
      <c r="H521" s="18"/>
      <c r="I521" s="18"/>
      <c r="J521" s="15"/>
      <c r="K521" s="37"/>
      <c r="L521" s="47"/>
      <c r="M521" s="47"/>
      <c r="N521" s="263"/>
      <c r="O521" s="17"/>
      <c r="P521" s="18"/>
    </row>
    <row r="522" spans="1:16" ht="15.75" customHeight="1" x14ac:dyDescent="0.25">
      <c r="A522" s="18"/>
      <c r="B522" s="17"/>
      <c r="C522" s="17"/>
      <c r="D522" s="18"/>
      <c r="E522" s="18"/>
      <c r="F522" s="17"/>
      <c r="G522" s="18"/>
      <c r="H522" s="18"/>
      <c r="I522" s="18"/>
      <c r="J522" s="15"/>
      <c r="K522" s="37"/>
      <c r="L522" s="47"/>
      <c r="M522" s="47"/>
      <c r="N522" s="263"/>
      <c r="O522" s="17"/>
      <c r="P522" s="18"/>
    </row>
    <row r="523" spans="1:16" ht="15.75" customHeight="1" x14ac:dyDescent="0.25">
      <c r="A523" s="18"/>
      <c r="B523" s="17"/>
      <c r="C523" s="17"/>
      <c r="D523" s="18"/>
      <c r="E523" s="18"/>
      <c r="F523" s="17"/>
      <c r="G523" s="18"/>
      <c r="H523" s="18"/>
      <c r="I523" s="18"/>
      <c r="J523" s="15"/>
      <c r="K523" s="37"/>
      <c r="L523" s="47"/>
      <c r="M523" s="47"/>
      <c r="N523" s="263"/>
      <c r="O523" s="17"/>
      <c r="P523" s="18"/>
    </row>
    <row r="524" spans="1:16" ht="15.75" customHeight="1" x14ac:dyDescent="0.25">
      <c r="A524" s="18"/>
      <c r="B524" s="17"/>
      <c r="C524" s="17"/>
      <c r="D524" s="18"/>
      <c r="E524" s="18"/>
      <c r="F524" s="17"/>
      <c r="G524" s="18"/>
      <c r="H524" s="18"/>
      <c r="I524" s="18"/>
      <c r="J524" s="15"/>
      <c r="K524" s="37"/>
      <c r="L524" s="47"/>
      <c r="M524" s="47"/>
      <c r="N524" s="263"/>
      <c r="O524" s="17"/>
      <c r="P524" s="18"/>
    </row>
    <row r="525" spans="1:16" ht="15.75" customHeight="1" x14ac:dyDescent="0.25">
      <c r="A525" s="18"/>
      <c r="B525" s="17"/>
      <c r="C525" s="17"/>
      <c r="D525" s="18"/>
      <c r="E525" s="18"/>
      <c r="F525" s="17"/>
      <c r="G525" s="18"/>
      <c r="H525" s="18"/>
      <c r="I525" s="18"/>
      <c r="J525" s="15"/>
      <c r="K525" s="37"/>
      <c r="L525" s="47"/>
      <c r="M525" s="47"/>
      <c r="N525" s="263"/>
      <c r="O525" s="17"/>
      <c r="P525" s="18"/>
    </row>
    <row r="526" spans="1:16" ht="15.75" customHeight="1" x14ac:dyDescent="0.25">
      <c r="A526" s="18"/>
      <c r="B526" s="17"/>
      <c r="C526" s="17"/>
      <c r="D526" s="18"/>
      <c r="E526" s="18"/>
      <c r="F526" s="17"/>
      <c r="G526" s="18"/>
      <c r="H526" s="18"/>
      <c r="I526" s="18"/>
      <c r="J526" s="15"/>
      <c r="K526" s="37"/>
      <c r="L526" s="47"/>
      <c r="M526" s="47"/>
      <c r="N526" s="263"/>
      <c r="O526" s="17"/>
      <c r="P526" s="18"/>
    </row>
    <row r="527" spans="1:16" ht="15.75" customHeight="1" x14ac:dyDescent="0.25">
      <c r="A527" s="18"/>
      <c r="B527" s="17"/>
      <c r="C527" s="17"/>
      <c r="D527" s="18"/>
      <c r="E527" s="18"/>
      <c r="F527" s="17"/>
      <c r="G527" s="18"/>
      <c r="H527" s="18"/>
      <c r="I527" s="18"/>
      <c r="J527" s="15"/>
      <c r="K527" s="37"/>
      <c r="L527" s="47"/>
      <c r="M527" s="47"/>
      <c r="N527" s="263"/>
      <c r="O527" s="17"/>
      <c r="P527" s="18"/>
    </row>
    <row r="528" spans="1:16" ht="15.75" customHeight="1" x14ac:dyDescent="0.25">
      <c r="A528" s="18"/>
      <c r="B528" s="17"/>
      <c r="C528" s="17"/>
      <c r="D528" s="18"/>
      <c r="E528" s="18"/>
      <c r="F528" s="17"/>
      <c r="G528" s="18"/>
      <c r="H528" s="18"/>
      <c r="I528" s="18"/>
      <c r="J528" s="15"/>
      <c r="K528" s="37"/>
      <c r="L528" s="47"/>
      <c r="M528" s="47"/>
      <c r="N528" s="263"/>
      <c r="O528" s="17"/>
      <c r="P528" s="18"/>
    </row>
    <row r="529" spans="1:16" ht="15.75" customHeight="1" x14ac:dyDescent="0.25">
      <c r="A529" s="18"/>
      <c r="B529" s="17"/>
      <c r="C529" s="17"/>
      <c r="D529" s="18"/>
      <c r="E529" s="18"/>
      <c r="F529" s="17"/>
      <c r="G529" s="18"/>
      <c r="H529" s="18"/>
      <c r="I529" s="18"/>
      <c r="J529" s="15"/>
      <c r="K529" s="37"/>
      <c r="L529" s="47"/>
      <c r="M529" s="47"/>
      <c r="N529" s="263"/>
      <c r="O529" s="17"/>
      <c r="P529" s="18"/>
    </row>
    <row r="530" spans="1:16" ht="15.75" customHeight="1" x14ac:dyDescent="0.25">
      <c r="A530" s="18"/>
      <c r="B530" s="17"/>
      <c r="C530" s="17"/>
      <c r="D530" s="18"/>
      <c r="E530" s="18"/>
      <c r="F530" s="17"/>
      <c r="G530" s="18"/>
      <c r="H530" s="18"/>
      <c r="I530" s="18"/>
      <c r="J530" s="15"/>
      <c r="K530" s="37"/>
      <c r="L530" s="47"/>
      <c r="M530" s="47"/>
      <c r="N530" s="263"/>
      <c r="O530" s="17"/>
      <c r="P530" s="18"/>
    </row>
    <row r="531" spans="1:16" ht="15.75" customHeight="1" x14ac:dyDescent="0.25">
      <c r="A531" s="18"/>
      <c r="B531" s="17"/>
      <c r="C531" s="17"/>
      <c r="D531" s="18"/>
      <c r="E531" s="18"/>
      <c r="F531" s="17"/>
      <c r="G531" s="18"/>
      <c r="H531" s="18"/>
      <c r="I531" s="18"/>
      <c r="J531" s="15"/>
      <c r="K531" s="37"/>
      <c r="L531" s="47"/>
      <c r="M531" s="47"/>
      <c r="N531" s="263"/>
      <c r="O531" s="17"/>
      <c r="P531" s="18"/>
    </row>
    <row r="532" spans="1:16" ht="15.75" customHeight="1" x14ac:dyDescent="0.25">
      <c r="A532" s="18"/>
      <c r="B532" s="17"/>
      <c r="C532" s="17"/>
      <c r="D532" s="18"/>
      <c r="E532" s="18"/>
      <c r="F532" s="17"/>
      <c r="G532" s="18"/>
      <c r="H532" s="18"/>
      <c r="I532" s="18"/>
      <c r="J532" s="15"/>
      <c r="K532" s="37"/>
      <c r="L532" s="47"/>
      <c r="M532" s="47"/>
      <c r="N532" s="263"/>
      <c r="O532" s="17"/>
      <c r="P532" s="18"/>
    </row>
    <row r="533" spans="1:16" ht="15.75" customHeight="1" x14ac:dyDescent="0.25">
      <c r="A533" s="18"/>
      <c r="B533" s="17"/>
      <c r="C533" s="17"/>
      <c r="D533" s="18"/>
      <c r="E533" s="18"/>
      <c r="F533" s="17"/>
      <c r="G533" s="18"/>
      <c r="H533" s="18"/>
      <c r="I533" s="18"/>
      <c r="J533" s="15"/>
      <c r="K533" s="37"/>
      <c r="L533" s="47"/>
      <c r="M533" s="47"/>
      <c r="N533" s="263"/>
      <c r="O533" s="17"/>
      <c r="P533" s="18"/>
    </row>
    <row r="534" spans="1:16" ht="15.75" customHeight="1" x14ac:dyDescent="0.25">
      <c r="A534" s="18"/>
      <c r="B534" s="17"/>
      <c r="C534" s="17"/>
      <c r="D534" s="18"/>
      <c r="E534" s="18"/>
      <c r="F534" s="17"/>
      <c r="G534" s="18"/>
      <c r="H534" s="18"/>
      <c r="I534" s="18"/>
      <c r="J534" s="15"/>
      <c r="K534" s="37"/>
      <c r="L534" s="47"/>
      <c r="M534" s="47"/>
      <c r="N534" s="263"/>
      <c r="O534" s="17"/>
      <c r="P534" s="18"/>
    </row>
    <row r="535" spans="1:16" ht="15.75" customHeight="1" x14ac:dyDescent="0.25">
      <c r="A535" s="18"/>
      <c r="B535" s="17"/>
      <c r="C535" s="17"/>
      <c r="D535" s="18"/>
      <c r="E535" s="18"/>
      <c r="F535" s="17"/>
      <c r="G535" s="18"/>
      <c r="H535" s="18"/>
      <c r="I535" s="18"/>
      <c r="J535" s="15"/>
      <c r="K535" s="37"/>
      <c r="L535" s="47"/>
      <c r="M535" s="47"/>
      <c r="N535" s="263"/>
      <c r="O535" s="17"/>
      <c r="P535" s="18"/>
    </row>
    <row r="536" spans="1:16" ht="15.75" customHeight="1" x14ac:dyDescent="0.25">
      <c r="A536" s="18"/>
      <c r="B536" s="17"/>
      <c r="C536" s="17"/>
      <c r="D536" s="18"/>
      <c r="E536" s="18"/>
      <c r="F536" s="17"/>
      <c r="G536" s="18"/>
      <c r="H536" s="18"/>
      <c r="I536" s="18"/>
      <c r="J536" s="15"/>
      <c r="K536" s="37"/>
      <c r="L536" s="47"/>
      <c r="M536" s="47"/>
      <c r="N536" s="263"/>
      <c r="O536" s="17"/>
      <c r="P536" s="18"/>
    </row>
    <row r="537" spans="1:16" ht="15.75" customHeight="1" x14ac:dyDescent="0.25">
      <c r="A537" s="18"/>
      <c r="B537" s="17"/>
      <c r="C537" s="17"/>
      <c r="D537" s="18"/>
      <c r="E537" s="18"/>
      <c r="F537" s="17"/>
      <c r="G537" s="18"/>
      <c r="H537" s="18"/>
      <c r="I537" s="18"/>
      <c r="J537" s="15"/>
      <c r="K537" s="37"/>
      <c r="L537" s="47"/>
      <c r="M537" s="47"/>
      <c r="N537" s="263"/>
      <c r="O537" s="17"/>
      <c r="P537" s="18"/>
    </row>
    <row r="538" spans="1:16" ht="15.75" customHeight="1" x14ac:dyDescent="0.25">
      <c r="A538" s="18"/>
      <c r="B538" s="17"/>
      <c r="C538" s="17"/>
      <c r="D538" s="18"/>
      <c r="E538" s="18"/>
      <c r="F538" s="17"/>
      <c r="G538" s="18"/>
      <c r="H538" s="18"/>
      <c r="I538" s="18"/>
      <c r="J538" s="15"/>
      <c r="K538" s="37"/>
      <c r="L538" s="47"/>
      <c r="M538" s="47"/>
      <c r="N538" s="263"/>
      <c r="O538" s="17"/>
      <c r="P538" s="18"/>
    </row>
    <row r="539" spans="1:16" ht="15.75" customHeight="1" x14ac:dyDescent="0.25">
      <c r="A539" s="18"/>
      <c r="B539" s="17"/>
      <c r="C539" s="17"/>
      <c r="D539" s="18"/>
      <c r="E539" s="18"/>
      <c r="F539" s="17"/>
      <c r="G539" s="18"/>
      <c r="H539" s="18"/>
      <c r="I539" s="18"/>
      <c r="J539" s="15"/>
      <c r="K539" s="37"/>
      <c r="L539" s="47"/>
      <c r="M539" s="47"/>
      <c r="N539" s="263"/>
      <c r="O539" s="17"/>
      <c r="P539" s="18"/>
    </row>
    <row r="540" spans="1:16" ht="15.75" customHeight="1" x14ac:dyDescent="0.25">
      <c r="A540" s="18"/>
      <c r="B540" s="17"/>
      <c r="C540" s="17"/>
      <c r="D540" s="18"/>
      <c r="E540" s="18"/>
      <c r="F540" s="17"/>
      <c r="G540" s="18"/>
      <c r="H540" s="18"/>
      <c r="I540" s="18"/>
      <c r="J540" s="15"/>
      <c r="K540" s="37"/>
      <c r="L540" s="47"/>
      <c r="M540" s="47"/>
      <c r="N540" s="263"/>
      <c r="O540" s="17"/>
      <c r="P540" s="18"/>
    </row>
    <row r="541" spans="1:16" ht="15.75" customHeight="1" x14ac:dyDescent="0.25">
      <c r="A541" s="18"/>
      <c r="B541" s="17"/>
      <c r="C541" s="17"/>
      <c r="D541" s="18"/>
      <c r="E541" s="18"/>
      <c r="F541" s="17"/>
      <c r="G541" s="18"/>
      <c r="H541" s="18"/>
      <c r="I541" s="18"/>
      <c r="J541" s="15"/>
      <c r="K541" s="37"/>
      <c r="L541" s="47"/>
      <c r="M541" s="47"/>
      <c r="N541" s="263"/>
      <c r="O541" s="17"/>
      <c r="P541" s="18"/>
    </row>
    <row r="542" spans="1:16" ht="15.75" customHeight="1" x14ac:dyDescent="0.25">
      <c r="A542" s="18"/>
      <c r="B542" s="17"/>
      <c r="C542" s="17"/>
      <c r="D542" s="18"/>
      <c r="E542" s="18"/>
      <c r="F542" s="17"/>
      <c r="G542" s="18"/>
      <c r="H542" s="18"/>
      <c r="I542" s="18"/>
      <c r="J542" s="15"/>
      <c r="K542" s="37"/>
      <c r="L542" s="47"/>
      <c r="M542" s="47"/>
      <c r="N542" s="263"/>
      <c r="O542" s="17"/>
      <c r="P542" s="18"/>
    </row>
    <row r="543" spans="1:16" ht="15.75" customHeight="1" x14ac:dyDescent="0.25">
      <c r="A543" s="18"/>
      <c r="B543" s="17"/>
      <c r="C543" s="17"/>
      <c r="D543" s="18"/>
      <c r="E543" s="18"/>
      <c r="F543" s="17"/>
      <c r="G543" s="18"/>
      <c r="H543" s="18"/>
      <c r="I543" s="18"/>
      <c r="J543" s="15"/>
      <c r="K543" s="37"/>
      <c r="L543" s="47"/>
      <c r="M543" s="47"/>
      <c r="N543" s="263"/>
      <c r="O543" s="17"/>
      <c r="P543" s="18"/>
    </row>
    <row r="544" spans="1:16" ht="15.75" customHeight="1" x14ac:dyDescent="0.25">
      <c r="A544" s="18"/>
      <c r="B544" s="17"/>
      <c r="C544" s="17"/>
      <c r="D544" s="18"/>
      <c r="E544" s="18"/>
      <c r="F544" s="17"/>
      <c r="G544" s="18"/>
      <c r="H544" s="18"/>
      <c r="I544" s="18"/>
      <c r="J544" s="15"/>
      <c r="K544" s="37"/>
      <c r="L544" s="47"/>
      <c r="M544" s="47"/>
      <c r="N544" s="263"/>
      <c r="O544" s="17"/>
      <c r="P544" s="18"/>
    </row>
    <row r="545" spans="1:16" ht="15.75" customHeight="1" x14ac:dyDescent="0.25">
      <c r="A545" s="18"/>
      <c r="B545" s="17"/>
      <c r="C545" s="17"/>
      <c r="D545" s="18"/>
      <c r="E545" s="18"/>
      <c r="F545" s="17"/>
      <c r="G545" s="18"/>
      <c r="H545" s="18"/>
      <c r="I545" s="18"/>
      <c r="J545" s="15"/>
      <c r="K545" s="37"/>
      <c r="L545" s="47"/>
      <c r="M545" s="47"/>
      <c r="N545" s="263"/>
      <c r="O545" s="17"/>
      <c r="P545" s="18"/>
    </row>
    <row r="546" spans="1:16" ht="15.75" customHeight="1" x14ac:dyDescent="0.25">
      <c r="A546" s="18"/>
      <c r="B546" s="17"/>
      <c r="C546" s="17"/>
      <c r="D546" s="18"/>
      <c r="E546" s="18"/>
      <c r="F546" s="17"/>
      <c r="G546" s="18"/>
      <c r="H546" s="18"/>
      <c r="I546" s="18"/>
      <c r="J546" s="15"/>
      <c r="K546" s="37"/>
      <c r="L546" s="47"/>
      <c r="M546" s="47"/>
      <c r="N546" s="263"/>
      <c r="O546" s="17"/>
      <c r="P546" s="18"/>
    </row>
    <row r="547" spans="1:16" ht="15.75" customHeight="1" x14ac:dyDescent="0.25">
      <c r="A547" s="18"/>
      <c r="B547" s="17"/>
      <c r="C547" s="17"/>
      <c r="D547" s="18"/>
      <c r="E547" s="18"/>
      <c r="F547" s="17"/>
      <c r="G547" s="18"/>
      <c r="H547" s="18"/>
      <c r="I547" s="18"/>
      <c r="J547" s="15"/>
      <c r="K547" s="37"/>
      <c r="L547" s="47"/>
      <c r="M547" s="47"/>
      <c r="N547" s="263"/>
      <c r="O547" s="17"/>
      <c r="P547" s="18"/>
    </row>
    <row r="548" spans="1:16" ht="15.75" customHeight="1" x14ac:dyDescent="0.25">
      <c r="A548" s="18"/>
      <c r="B548" s="17"/>
      <c r="C548" s="17"/>
      <c r="D548" s="18"/>
      <c r="E548" s="18"/>
      <c r="F548" s="17"/>
      <c r="G548" s="18"/>
      <c r="H548" s="18"/>
      <c r="I548" s="18"/>
      <c r="J548" s="15"/>
      <c r="K548" s="37"/>
      <c r="L548" s="47"/>
      <c r="M548" s="47"/>
      <c r="N548" s="263"/>
      <c r="O548" s="17"/>
      <c r="P548" s="18"/>
    </row>
    <row r="549" spans="1:16" ht="15.75" customHeight="1" x14ac:dyDescent="0.25">
      <c r="A549" s="18"/>
      <c r="B549" s="17"/>
      <c r="C549" s="17"/>
      <c r="D549" s="18"/>
      <c r="E549" s="18"/>
      <c r="F549" s="17"/>
      <c r="G549" s="18"/>
      <c r="H549" s="18"/>
      <c r="I549" s="18"/>
      <c r="J549" s="15"/>
      <c r="K549" s="37"/>
      <c r="L549" s="47"/>
      <c r="M549" s="47"/>
      <c r="N549" s="263"/>
      <c r="O549" s="17"/>
      <c r="P549" s="18"/>
    </row>
    <row r="550" spans="1:16" ht="15.75" customHeight="1" x14ac:dyDescent="0.25">
      <c r="A550" s="18"/>
      <c r="B550" s="17"/>
      <c r="C550" s="17"/>
      <c r="D550" s="18"/>
      <c r="E550" s="18"/>
      <c r="F550" s="17"/>
      <c r="G550" s="18"/>
      <c r="H550" s="18"/>
      <c r="I550" s="18"/>
      <c r="J550" s="15"/>
      <c r="K550" s="37"/>
      <c r="L550" s="47"/>
      <c r="M550" s="47"/>
      <c r="N550" s="263"/>
      <c r="O550" s="17"/>
      <c r="P550" s="18"/>
    </row>
    <row r="551" spans="1:16" ht="15.75" customHeight="1" x14ac:dyDescent="0.25">
      <c r="A551" s="18"/>
      <c r="B551" s="17"/>
      <c r="C551" s="17"/>
      <c r="D551" s="18"/>
      <c r="E551" s="18"/>
      <c r="F551" s="17"/>
      <c r="G551" s="18"/>
      <c r="H551" s="18"/>
      <c r="I551" s="18"/>
      <c r="J551" s="15"/>
      <c r="K551" s="37"/>
      <c r="L551" s="47"/>
      <c r="M551" s="47"/>
      <c r="N551" s="263"/>
      <c r="O551" s="17"/>
      <c r="P551" s="18"/>
    </row>
    <row r="552" spans="1:16" ht="15.75" customHeight="1" x14ac:dyDescent="0.25">
      <c r="A552" s="18"/>
      <c r="B552" s="17"/>
      <c r="C552" s="17"/>
      <c r="D552" s="18"/>
      <c r="E552" s="18"/>
      <c r="F552" s="17"/>
      <c r="G552" s="18"/>
      <c r="H552" s="18"/>
      <c r="I552" s="18"/>
      <c r="J552" s="15"/>
      <c r="K552" s="37"/>
      <c r="L552" s="47"/>
      <c r="M552" s="47"/>
      <c r="N552" s="263"/>
      <c r="O552" s="17"/>
      <c r="P552" s="18"/>
    </row>
    <row r="553" spans="1:16" ht="15.75" customHeight="1" x14ac:dyDescent="0.25">
      <c r="A553" s="18"/>
      <c r="B553" s="17"/>
      <c r="C553" s="17"/>
      <c r="D553" s="18"/>
      <c r="E553" s="18"/>
      <c r="F553" s="17"/>
      <c r="G553" s="18"/>
      <c r="H553" s="18"/>
      <c r="I553" s="18"/>
      <c r="J553" s="15"/>
      <c r="K553" s="37"/>
      <c r="L553" s="47"/>
      <c r="M553" s="47"/>
      <c r="N553" s="263"/>
      <c r="O553" s="17"/>
      <c r="P553" s="18"/>
    </row>
    <row r="554" spans="1:16" ht="15.75" customHeight="1" x14ac:dyDescent="0.25">
      <c r="A554" s="18"/>
      <c r="B554" s="17"/>
      <c r="C554" s="17"/>
      <c r="D554" s="18"/>
      <c r="E554" s="18"/>
      <c r="F554" s="17"/>
      <c r="G554" s="18"/>
      <c r="H554" s="18"/>
      <c r="I554" s="18"/>
      <c r="J554" s="15"/>
      <c r="K554" s="37"/>
      <c r="L554" s="47"/>
      <c r="M554" s="47"/>
      <c r="N554" s="263"/>
      <c r="O554" s="17"/>
      <c r="P554" s="18"/>
    </row>
    <row r="555" spans="1:16" ht="15.75" customHeight="1" x14ac:dyDescent="0.25">
      <c r="A555" s="18"/>
      <c r="B555" s="17"/>
      <c r="C555" s="17"/>
      <c r="D555" s="18"/>
      <c r="E555" s="18"/>
      <c r="F555" s="17"/>
      <c r="G555" s="18"/>
      <c r="H555" s="18"/>
      <c r="I555" s="18"/>
      <c r="J555" s="15"/>
      <c r="K555" s="37"/>
      <c r="L555" s="47"/>
      <c r="M555" s="47"/>
      <c r="N555" s="263"/>
      <c r="O555" s="17"/>
      <c r="P555" s="18"/>
    </row>
    <row r="556" spans="1:16" ht="15.75" customHeight="1" x14ac:dyDescent="0.25">
      <c r="A556" s="18"/>
      <c r="B556" s="17"/>
      <c r="C556" s="17"/>
      <c r="D556" s="18"/>
      <c r="E556" s="18"/>
      <c r="F556" s="17"/>
      <c r="G556" s="18"/>
      <c r="H556" s="18"/>
      <c r="I556" s="18"/>
      <c r="J556" s="15"/>
      <c r="K556" s="37"/>
      <c r="L556" s="47"/>
      <c r="M556" s="47"/>
      <c r="N556" s="263"/>
      <c r="O556" s="17"/>
      <c r="P556" s="18"/>
    </row>
    <row r="557" spans="1:16" ht="15.75" customHeight="1" x14ac:dyDescent="0.25">
      <c r="A557" s="18"/>
      <c r="B557" s="17"/>
      <c r="C557" s="17"/>
      <c r="D557" s="18"/>
      <c r="E557" s="18"/>
      <c r="F557" s="17"/>
      <c r="G557" s="18"/>
      <c r="H557" s="18"/>
      <c r="I557" s="18"/>
      <c r="J557" s="15"/>
      <c r="K557" s="37"/>
      <c r="L557" s="47"/>
      <c r="M557" s="47"/>
      <c r="N557" s="263"/>
      <c r="O557" s="17"/>
      <c r="P557" s="18"/>
    </row>
    <row r="558" spans="1:16" ht="15.75" customHeight="1" x14ac:dyDescent="0.25">
      <c r="A558" s="18"/>
      <c r="B558" s="17"/>
      <c r="C558" s="17"/>
      <c r="D558" s="18"/>
      <c r="E558" s="18"/>
      <c r="F558" s="17"/>
      <c r="G558" s="18"/>
      <c r="H558" s="18"/>
      <c r="I558" s="18"/>
      <c r="J558" s="15"/>
      <c r="K558" s="37"/>
      <c r="L558" s="47"/>
      <c r="M558" s="47"/>
      <c r="N558" s="263"/>
      <c r="O558" s="17"/>
      <c r="P558" s="18"/>
    </row>
    <row r="559" spans="1:16" ht="15.75" customHeight="1" x14ac:dyDescent="0.25">
      <c r="A559" s="18"/>
      <c r="B559" s="17"/>
      <c r="C559" s="17"/>
      <c r="D559" s="18"/>
      <c r="E559" s="18"/>
      <c r="F559" s="17"/>
      <c r="G559" s="18"/>
      <c r="H559" s="18"/>
      <c r="I559" s="18"/>
      <c r="J559" s="15"/>
      <c r="K559" s="37"/>
      <c r="L559" s="47"/>
      <c r="M559" s="47"/>
      <c r="N559" s="263"/>
      <c r="O559" s="17"/>
      <c r="P559" s="18"/>
    </row>
    <row r="560" spans="1:16" ht="15.75" customHeight="1" x14ac:dyDescent="0.25">
      <c r="A560" s="18"/>
      <c r="B560" s="17"/>
      <c r="C560" s="17"/>
      <c r="D560" s="18"/>
      <c r="E560" s="18"/>
      <c r="F560" s="17"/>
      <c r="G560" s="18"/>
      <c r="H560" s="18"/>
      <c r="I560" s="18"/>
      <c r="J560" s="15"/>
      <c r="K560" s="37"/>
      <c r="L560" s="47"/>
      <c r="M560" s="47"/>
      <c r="N560" s="263"/>
      <c r="O560" s="17"/>
      <c r="P560" s="18"/>
    </row>
    <row r="561" spans="1:16" ht="15.75" customHeight="1" x14ac:dyDescent="0.25">
      <c r="A561" s="18"/>
      <c r="B561" s="17"/>
      <c r="C561" s="17"/>
      <c r="D561" s="18"/>
      <c r="E561" s="18"/>
      <c r="F561" s="17"/>
      <c r="G561" s="18"/>
      <c r="H561" s="18"/>
      <c r="I561" s="18"/>
      <c r="J561" s="15"/>
      <c r="K561" s="37"/>
      <c r="L561" s="47"/>
      <c r="M561" s="47"/>
      <c r="N561" s="263"/>
      <c r="O561" s="17"/>
      <c r="P561" s="18"/>
    </row>
    <row r="562" spans="1:16" ht="15.75" customHeight="1" x14ac:dyDescent="0.25">
      <c r="A562" s="18"/>
      <c r="B562" s="17"/>
      <c r="C562" s="17"/>
      <c r="D562" s="18"/>
      <c r="E562" s="18"/>
      <c r="F562" s="17"/>
      <c r="G562" s="18"/>
      <c r="H562" s="18"/>
      <c r="I562" s="18"/>
      <c r="J562" s="15"/>
      <c r="K562" s="37"/>
      <c r="L562" s="47"/>
      <c r="M562" s="47"/>
      <c r="N562" s="263"/>
      <c r="O562" s="17"/>
      <c r="P562" s="18"/>
    </row>
    <row r="563" spans="1:16" ht="15.75" customHeight="1" x14ac:dyDescent="0.25">
      <c r="A563" s="18"/>
      <c r="B563" s="17"/>
      <c r="C563" s="17"/>
      <c r="D563" s="18"/>
      <c r="E563" s="18"/>
      <c r="F563" s="17"/>
      <c r="G563" s="18"/>
      <c r="H563" s="18"/>
      <c r="I563" s="18"/>
      <c r="J563" s="15"/>
      <c r="K563" s="37"/>
      <c r="L563" s="47"/>
      <c r="M563" s="47"/>
      <c r="N563" s="263"/>
      <c r="O563" s="17"/>
      <c r="P563" s="18"/>
    </row>
    <row r="564" spans="1:16" ht="15.75" customHeight="1" x14ac:dyDescent="0.25">
      <c r="A564" s="18"/>
      <c r="B564" s="17"/>
      <c r="C564" s="17"/>
      <c r="D564" s="18"/>
      <c r="E564" s="18"/>
      <c r="F564" s="17"/>
      <c r="G564" s="18"/>
      <c r="H564" s="18"/>
      <c r="I564" s="18"/>
      <c r="J564" s="15"/>
      <c r="K564" s="37"/>
      <c r="L564" s="47"/>
      <c r="M564" s="47"/>
      <c r="N564" s="263"/>
      <c r="O564" s="17"/>
      <c r="P564" s="18"/>
    </row>
    <row r="565" spans="1:16" ht="15.75" customHeight="1" x14ac:dyDescent="0.25">
      <c r="A565" s="18"/>
      <c r="B565" s="17"/>
      <c r="C565" s="17"/>
      <c r="D565" s="18"/>
      <c r="E565" s="18"/>
      <c r="F565" s="17"/>
      <c r="G565" s="18"/>
      <c r="H565" s="18"/>
      <c r="I565" s="18"/>
      <c r="J565" s="15"/>
      <c r="K565" s="37"/>
      <c r="L565" s="47"/>
      <c r="M565" s="47"/>
      <c r="N565" s="263"/>
      <c r="O565" s="17"/>
      <c r="P565" s="18"/>
    </row>
    <row r="566" spans="1:16" ht="15.75" customHeight="1" x14ac:dyDescent="0.25">
      <c r="A566" s="18"/>
      <c r="B566" s="17"/>
      <c r="C566" s="17"/>
      <c r="D566" s="18"/>
      <c r="E566" s="18"/>
      <c r="F566" s="17"/>
      <c r="G566" s="18"/>
      <c r="H566" s="18"/>
      <c r="I566" s="18"/>
      <c r="J566" s="15"/>
      <c r="K566" s="37"/>
      <c r="L566" s="47"/>
      <c r="M566" s="47"/>
      <c r="N566" s="263"/>
      <c r="O566" s="17"/>
      <c r="P566" s="18"/>
    </row>
    <row r="567" spans="1:16" ht="15.75" customHeight="1" x14ac:dyDescent="0.25">
      <c r="A567" s="18"/>
      <c r="B567" s="17"/>
      <c r="C567" s="17"/>
      <c r="D567" s="18"/>
      <c r="E567" s="18"/>
      <c r="F567" s="17"/>
      <c r="G567" s="18"/>
      <c r="H567" s="18"/>
      <c r="I567" s="18"/>
      <c r="J567" s="15"/>
      <c r="K567" s="37"/>
      <c r="L567" s="47"/>
      <c r="M567" s="47"/>
      <c r="N567" s="263"/>
      <c r="O567" s="17"/>
      <c r="P567" s="18"/>
    </row>
    <row r="568" spans="1:16" ht="15.75" customHeight="1" x14ac:dyDescent="0.25">
      <c r="A568" s="18"/>
      <c r="B568" s="17"/>
      <c r="C568" s="17"/>
      <c r="D568" s="18"/>
      <c r="E568" s="18"/>
      <c r="F568" s="17"/>
      <c r="G568" s="18"/>
      <c r="H568" s="18"/>
      <c r="I568" s="18"/>
      <c r="J568" s="15"/>
      <c r="K568" s="37"/>
      <c r="L568" s="47"/>
      <c r="M568" s="47"/>
      <c r="N568" s="263"/>
      <c r="O568" s="17"/>
      <c r="P568" s="18"/>
    </row>
    <row r="569" spans="1:16" ht="15.75" customHeight="1" x14ac:dyDescent="0.25">
      <c r="A569" s="18"/>
      <c r="B569" s="17"/>
      <c r="C569" s="17"/>
      <c r="D569" s="18"/>
      <c r="E569" s="18"/>
      <c r="F569" s="17"/>
      <c r="G569" s="18"/>
      <c r="H569" s="18"/>
      <c r="I569" s="18"/>
      <c r="J569" s="15"/>
      <c r="K569" s="37"/>
      <c r="L569" s="47"/>
      <c r="M569" s="47"/>
      <c r="N569" s="263"/>
      <c r="O569" s="17"/>
      <c r="P569" s="18"/>
    </row>
    <row r="570" spans="1:16" ht="15.75" customHeight="1" x14ac:dyDescent="0.25">
      <c r="A570" s="18"/>
      <c r="B570" s="17"/>
      <c r="C570" s="17"/>
      <c r="D570" s="18"/>
      <c r="E570" s="18"/>
      <c r="F570" s="17"/>
      <c r="G570" s="18"/>
      <c r="H570" s="18"/>
      <c r="I570" s="18"/>
      <c r="J570" s="15"/>
      <c r="K570" s="37"/>
      <c r="L570" s="47"/>
      <c r="M570" s="47"/>
      <c r="N570" s="263"/>
      <c r="O570" s="17"/>
      <c r="P570" s="18"/>
    </row>
    <row r="571" spans="1:16" ht="15.75" customHeight="1" x14ac:dyDescent="0.25">
      <c r="A571" s="18"/>
      <c r="B571" s="17"/>
      <c r="C571" s="17"/>
      <c r="D571" s="18"/>
      <c r="E571" s="18"/>
      <c r="F571" s="17"/>
      <c r="G571" s="18"/>
      <c r="H571" s="18"/>
      <c r="I571" s="18"/>
      <c r="J571" s="15"/>
      <c r="K571" s="37"/>
      <c r="L571" s="47"/>
      <c r="M571" s="47"/>
      <c r="N571" s="263"/>
      <c r="O571" s="17"/>
      <c r="P571" s="18"/>
    </row>
    <row r="572" spans="1:16" ht="15.75" customHeight="1" x14ac:dyDescent="0.25">
      <c r="A572" s="18"/>
      <c r="B572" s="17"/>
      <c r="C572" s="17"/>
      <c r="D572" s="18"/>
      <c r="E572" s="18"/>
      <c r="F572" s="17"/>
      <c r="G572" s="18"/>
      <c r="H572" s="18"/>
      <c r="I572" s="18"/>
      <c r="J572" s="15"/>
      <c r="K572" s="37"/>
      <c r="L572" s="47"/>
      <c r="M572" s="47"/>
      <c r="N572" s="263"/>
      <c r="O572" s="17"/>
      <c r="P572" s="18"/>
    </row>
    <row r="573" spans="1:16" ht="15.75" customHeight="1" x14ac:dyDescent="0.25">
      <c r="A573" s="18"/>
      <c r="B573" s="17"/>
      <c r="C573" s="17"/>
      <c r="D573" s="18"/>
      <c r="E573" s="18"/>
      <c r="F573" s="17"/>
      <c r="G573" s="18"/>
      <c r="H573" s="18"/>
      <c r="I573" s="18"/>
      <c r="J573" s="15"/>
      <c r="K573" s="37"/>
      <c r="L573" s="47"/>
      <c r="M573" s="47"/>
      <c r="N573" s="263"/>
      <c r="O573" s="17"/>
      <c r="P573" s="18"/>
    </row>
    <row r="574" spans="1:16" ht="15.75" customHeight="1" x14ac:dyDescent="0.25">
      <c r="A574" s="18"/>
      <c r="B574" s="17"/>
      <c r="C574" s="17"/>
      <c r="D574" s="18"/>
      <c r="E574" s="18"/>
      <c r="F574" s="17"/>
      <c r="G574" s="18"/>
      <c r="H574" s="18"/>
      <c r="I574" s="18"/>
      <c r="J574" s="15"/>
      <c r="K574" s="37"/>
      <c r="L574" s="47"/>
      <c r="M574" s="47"/>
      <c r="N574" s="263"/>
      <c r="O574" s="17"/>
      <c r="P574" s="18"/>
    </row>
    <row r="575" spans="1:16" ht="15.75" customHeight="1" x14ac:dyDescent="0.25">
      <c r="A575" s="18"/>
      <c r="B575" s="17"/>
      <c r="C575" s="17"/>
      <c r="D575" s="18"/>
      <c r="E575" s="18"/>
      <c r="F575" s="17"/>
      <c r="G575" s="18"/>
      <c r="H575" s="18"/>
      <c r="I575" s="18"/>
      <c r="J575" s="15"/>
      <c r="K575" s="37"/>
      <c r="L575" s="47"/>
      <c r="M575" s="47"/>
      <c r="N575" s="263"/>
      <c r="O575" s="17"/>
      <c r="P575" s="18"/>
    </row>
    <row r="576" spans="1:16" ht="15.75" customHeight="1" x14ac:dyDescent="0.25">
      <c r="A576" s="18"/>
      <c r="B576" s="17"/>
      <c r="C576" s="17"/>
      <c r="D576" s="18"/>
      <c r="E576" s="18"/>
      <c r="F576" s="17"/>
      <c r="G576" s="18"/>
      <c r="H576" s="18"/>
      <c r="I576" s="18"/>
      <c r="J576" s="15"/>
      <c r="K576" s="37"/>
      <c r="L576" s="47"/>
      <c r="M576" s="47"/>
      <c r="N576" s="263"/>
      <c r="O576" s="17"/>
      <c r="P576" s="18"/>
    </row>
    <row r="577" spans="1:16" ht="15.75" customHeight="1" x14ac:dyDescent="0.25">
      <c r="A577" s="18"/>
      <c r="B577" s="17"/>
      <c r="C577" s="17"/>
      <c r="D577" s="18"/>
      <c r="E577" s="18"/>
      <c r="F577" s="17"/>
      <c r="G577" s="18"/>
      <c r="H577" s="18"/>
      <c r="I577" s="18"/>
      <c r="J577" s="15"/>
      <c r="K577" s="37"/>
      <c r="L577" s="47"/>
      <c r="M577" s="47"/>
      <c r="N577" s="263"/>
      <c r="O577" s="17"/>
      <c r="P577" s="18"/>
    </row>
    <row r="578" spans="1:16" ht="15.75" customHeight="1" x14ac:dyDescent="0.25">
      <c r="A578" s="18"/>
      <c r="B578" s="17"/>
      <c r="C578" s="17"/>
      <c r="D578" s="18"/>
      <c r="E578" s="18"/>
      <c r="F578" s="17"/>
      <c r="G578" s="18"/>
      <c r="H578" s="18"/>
      <c r="I578" s="18"/>
      <c r="J578" s="15"/>
      <c r="K578" s="37"/>
      <c r="L578" s="47"/>
      <c r="M578" s="47"/>
      <c r="N578" s="263"/>
      <c r="O578" s="17"/>
      <c r="P578" s="18"/>
    </row>
    <row r="579" spans="1:16" ht="15.75" customHeight="1" x14ac:dyDescent="0.25">
      <c r="A579" s="18"/>
      <c r="B579" s="17"/>
      <c r="C579" s="17"/>
      <c r="D579" s="18"/>
      <c r="E579" s="18"/>
      <c r="F579" s="17"/>
      <c r="G579" s="18"/>
      <c r="H579" s="18"/>
      <c r="I579" s="18"/>
      <c r="J579" s="15"/>
      <c r="K579" s="37"/>
      <c r="L579" s="47"/>
      <c r="M579" s="47"/>
      <c r="N579" s="263"/>
      <c r="O579" s="17"/>
      <c r="P579" s="18"/>
    </row>
    <row r="580" spans="1:16" ht="15.75" customHeight="1" x14ac:dyDescent="0.25">
      <c r="A580" s="18"/>
      <c r="B580" s="17"/>
      <c r="C580" s="17"/>
      <c r="D580" s="18"/>
      <c r="E580" s="18"/>
      <c r="F580" s="17"/>
      <c r="G580" s="18"/>
      <c r="H580" s="18"/>
      <c r="I580" s="18"/>
      <c r="J580" s="15"/>
      <c r="K580" s="37"/>
      <c r="L580" s="47"/>
      <c r="M580" s="47"/>
      <c r="N580" s="263"/>
      <c r="O580" s="17"/>
      <c r="P580" s="18"/>
    </row>
    <row r="581" spans="1:16" ht="15.75" customHeight="1" x14ac:dyDescent="0.25">
      <c r="A581" s="18"/>
      <c r="B581" s="17"/>
      <c r="C581" s="17"/>
      <c r="D581" s="18"/>
      <c r="E581" s="18"/>
      <c r="F581" s="17"/>
      <c r="G581" s="18"/>
      <c r="H581" s="18"/>
      <c r="I581" s="18"/>
      <c r="J581" s="15"/>
      <c r="K581" s="37"/>
      <c r="L581" s="47"/>
      <c r="M581" s="47"/>
      <c r="N581" s="263"/>
      <c r="O581" s="17"/>
      <c r="P581" s="18"/>
    </row>
    <row r="582" spans="1:16" ht="15.75" customHeight="1" x14ac:dyDescent="0.25">
      <c r="A582" s="18"/>
      <c r="B582" s="17"/>
      <c r="C582" s="17"/>
      <c r="D582" s="18"/>
      <c r="E582" s="18"/>
      <c r="F582" s="17"/>
      <c r="G582" s="18"/>
      <c r="H582" s="18"/>
      <c r="I582" s="18"/>
      <c r="J582" s="15"/>
      <c r="K582" s="37"/>
      <c r="L582" s="47"/>
      <c r="M582" s="47"/>
      <c r="N582" s="263"/>
      <c r="O582" s="17"/>
      <c r="P582" s="18"/>
    </row>
    <row r="583" spans="1:16" ht="15.75" customHeight="1" x14ac:dyDescent="0.25">
      <c r="A583" s="18"/>
      <c r="B583" s="17"/>
      <c r="C583" s="17"/>
      <c r="D583" s="18"/>
      <c r="E583" s="18"/>
      <c r="F583" s="17"/>
      <c r="G583" s="18"/>
      <c r="H583" s="18"/>
      <c r="I583" s="18"/>
      <c r="J583" s="15"/>
      <c r="K583" s="37"/>
      <c r="L583" s="47"/>
      <c r="M583" s="47"/>
      <c r="N583" s="263"/>
      <c r="O583" s="17"/>
      <c r="P583" s="18"/>
    </row>
    <row r="584" spans="1:16" ht="15.75" customHeight="1" x14ac:dyDescent="0.25">
      <c r="A584" s="18"/>
      <c r="B584" s="17"/>
      <c r="C584" s="17"/>
      <c r="D584" s="18"/>
      <c r="E584" s="18"/>
      <c r="F584" s="17"/>
      <c r="G584" s="18"/>
      <c r="H584" s="18"/>
      <c r="I584" s="18"/>
      <c r="J584" s="15"/>
      <c r="K584" s="37"/>
      <c r="L584" s="47"/>
      <c r="M584" s="47"/>
      <c r="N584" s="263"/>
      <c r="O584" s="17"/>
      <c r="P584" s="18"/>
    </row>
    <row r="585" spans="1:16" ht="15.75" customHeight="1" x14ac:dyDescent="0.25">
      <c r="A585" s="18"/>
      <c r="B585" s="17"/>
      <c r="C585" s="17"/>
      <c r="D585" s="18"/>
      <c r="E585" s="18"/>
      <c r="F585" s="17"/>
      <c r="G585" s="18"/>
      <c r="H585" s="18"/>
      <c r="I585" s="18"/>
      <c r="J585" s="15"/>
      <c r="K585" s="37"/>
      <c r="L585" s="47"/>
      <c r="M585" s="47"/>
      <c r="N585" s="263"/>
      <c r="O585" s="17"/>
      <c r="P585" s="18"/>
    </row>
    <row r="586" spans="1:16" ht="15.75" customHeight="1" x14ac:dyDescent="0.25">
      <c r="A586" s="18"/>
      <c r="B586" s="17"/>
      <c r="C586" s="17"/>
      <c r="D586" s="18"/>
      <c r="E586" s="18"/>
      <c r="F586" s="17"/>
      <c r="G586" s="18"/>
      <c r="H586" s="18"/>
      <c r="I586" s="18"/>
      <c r="J586" s="15"/>
      <c r="K586" s="37"/>
      <c r="L586" s="47"/>
      <c r="M586" s="47"/>
      <c r="N586" s="263"/>
      <c r="O586" s="17"/>
      <c r="P586" s="18"/>
    </row>
    <row r="587" spans="1:16" ht="15.75" customHeight="1" x14ac:dyDescent="0.25">
      <c r="A587" s="18"/>
      <c r="B587" s="17"/>
      <c r="C587" s="17"/>
      <c r="D587" s="18"/>
      <c r="E587" s="18"/>
      <c r="F587" s="17"/>
      <c r="G587" s="18"/>
      <c r="H587" s="18"/>
      <c r="I587" s="18"/>
      <c r="J587" s="15"/>
      <c r="K587" s="37"/>
      <c r="L587" s="47"/>
      <c r="M587" s="47"/>
      <c r="N587" s="263"/>
      <c r="O587" s="17"/>
      <c r="P587" s="18"/>
    </row>
    <row r="588" spans="1:16" ht="15.75" customHeight="1" x14ac:dyDescent="0.25">
      <c r="A588" s="18"/>
      <c r="B588" s="17"/>
      <c r="C588" s="17"/>
      <c r="D588" s="18"/>
      <c r="E588" s="18"/>
      <c r="F588" s="17"/>
      <c r="G588" s="18"/>
      <c r="H588" s="18"/>
      <c r="I588" s="18"/>
      <c r="J588" s="15"/>
      <c r="K588" s="37"/>
      <c r="L588" s="47"/>
      <c r="M588" s="47"/>
      <c r="N588" s="263"/>
      <c r="O588" s="17"/>
      <c r="P588" s="18"/>
    </row>
    <row r="589" spans="1:16" ht="15.75" customHeight="1" x14ac:dyDescent="0.25">
      <c r="A589" s="18"/>
      <c r="B589" s="17"/>
      <c r="C589" s="17"/>
      <c r="D589" s="18"/>
      <c r="E589" s="18"/>
      <c r="F589" s="17"/>
      <c r="G589" s="18"/>
      <c r="H589" s="18"/>
      <c r="I589" s="18"/>
      <c r="J589" s="15"/>
      <c r="K589" s="37"/>
      <c r="L589" s="47"/>
      <c r="M589" s="47"/>
      <c r="N589" s="263"/>
      <c r="O589" s="17"/>
      <c r="P589" s="18"/>
    </row>
    <row r="590" spans="1:16" ht="15.75" customHeight="1" x14ac:dyDescent="0.25">
      <c r="A590" s="18"/>
      <c r="B590" s="17"/>
      <c r="C590" s="17"/>
      <c r="D590" s="18"/>
      <c r="E590" s="18"/>
      <c r="F590" s="17"/>
      <c r="G590" s="18"/>
      <c r="H590" s="18"/>
      <c r="I590" s="18"/>
      <c r="J590" s="15"/>
      <c r="K590" s="37"/>
      <c r="L590" s="47"/>
      <c r="M590" s="47"/>
      <c r="N590" s="263"/>
      <c r="O590" s="17"/>
      <c r="P590" s="18"/>
    </row>
    <row r="591" spans="1:16" ht="15.75" customHeight="1" x14ac:dyDescent="0.25">
      <c r="A591" s="18"/>
      <c r="B591" s="17"/>
      <c r="C591" s="17"/>
      <c r="D591" s="18"/>
      <c r="E591" s="18"/>
      <c r="F591" s="17"/>
      <c r="G591" s="18"/>
      <c r="H591" s="18"/>
      <c r="I591" s="18"/>
      <c r="J591" s="15"/>
      <c r="K591" s="37"/>
      <c r="L591" s="47"/>
      <c r="M591" s="47"/>
      <c r="N591" s="263"/>
      <c r="O591" s="17"/>
      <c r="P591" s="18"/>
    </row>
    <row r="592" spans="1:16" ht="15.75" customHeight="1" x14ac:dyDescent="0.25">
      <c r="A592" s="18"/>
      <c r="B592" s="17"/>
      <c r="C592" s="17"/>
      <c r="D592" s="18"/>
      <c r="E592" s="18"/>
      <c r="F592" s="17"/>
      <c r="G592" s="18"/>
      <c r="H592" s="18"/>
      <c r="I592" s="18"/>
      <c r="J592" s="15"/>
      <c r="K592" s="37"/>
      <c r="L592" s="47"/>
      <c r="M592" s="47"/>
      <c r="N592" s="263"/>
      <c r="O592" s="17"/>
      <c r="P592" s="18"/>
    </row>
    <row r="593" spans="1:16" ht="15.75" customHeight="1" x14ac:dyDescent="0.25">
      <c r="A593" s="18"/>
      <c r="B593" s="17"/>
      <c r="C593" s="17"/>
      <c r="D593" s="18"/>
      <c r="E593" s="18"/>
      <c r="F593" s="17"/>
      <c r="G593" s="18"/>
      <c r="H593" s="18"/>
      <c r="I593" s="18"/>
      <c r="J593" s="15"/>
      <c r="K593" s="37"/>
      <c r="L593" s="47"/>
      <c r="M593" s="47"/>
      <c r="N593" s="263"/>
      <c r="O593" s="17"/>
      <c r="P593" s="18"/>
    </row>
    <row r="594" spans="1:16" ht="15.75" customHeight="1" x14ac:dyDescent="0.25">
      <c r="A594" s="18"/>
      <c r="B594" s="17"/>
      <c r="C594" s="17"/>
      <c r="D594" s="18"/>
      <c r="E594" s="18"/>
      <c r="F594" s="17"/>
      <c r="G594" s="18"/>
      <c r="H594" s="18"/>
      <c r="I594" s="18"/>
      <c r="J594" s="15"/>
      <c r="K594" s="37"/>
      <c r="L594" s="47"/>
      <c r="M594" s="47"/>
      <c r="N594" s="263"/>
      <c r="O594" s="17"/>
      <c r="P594" s="18"/>
    </row>
    <row r="595" spans="1:16" ht="15.75" customHeight="1" x14ac:dyDescent="0.25">
      <c r="A595" s="18"/>
      <c r="B595" s="17"/>
      <c r="C595" s="17"/>
      <c r="D595" s="18"/>
      <c r="E595" s="18"/>
      <c r="F595" s="17"/>
      <c r="G595" s="18"/>
      <c r="H595" s="18"/>
      <c r="I595" s="18"/>
      <c r="J595" s="15"/>
      <c r="K595" s="37"/>
      <c r="L595" s="47"/>
      <c r="M595" s="47"/>
      <c r="N595" s="263"/>
      <c r="O595" s="17"/>
      <c r="P595" s="18"/>
    </row>
    <row r="596" spans="1:16" ht="15.75" customHeight="1" x14ac:dyDescent="0.25">
      <c r="A596" s="18"/>
      <c r="B596" s="17"/>
      <c r="C596" s="17"/>
      <c r="D596" s="18"/>
      <c r="E596" s="18"/>
      <c r="F596" s="17"/>
      <c r="G596" s="18"/>
      <c r="H596" s="18"/>
      <c r="I596" s="18"/>
      <c r="J596" s="15"/>
      <c r="K596" s="37"/>
      <c r="L596" s="47"/>
      <c r="M596" s="47"/>
      <c r="N596" s="263"/>
      <c r="O596" s="17"/>
      <c r="P596" s="18"/>
    </row>
    <row r="597" spans="1:16" ht="15.75" customHeight="1" x14ac:dyDescent="0.25">
      <c r="A597" s="18"/>
      <c r="B597" s="17"/>
      <c r="C597" s="17"/>
      <c r="D597" s="18"/>
      <c r="E597" s="18"/>
      <c r="F597" s="17"/>
      <c r="G597" s="18"/>
      <c r="H597" s="18"/>
      <c r="I597" s="18"/>
      <c r="J597" s="15"/>
      <c r="K597" s="37"/>
      <c r="L597" s="47"/>
      <c r="M597" s="47"/>
      <c r="N597" s="263"/>
      <c r="O597" s="17"/>
      <c r="P597" s="18"/>
    </row>
    <row r="598" spans="1:16" ht="15.75" customHeight="1" x14ac:dyDescent="0.25">
      <c r="A598" s="18"/>
      <c r="B598" s="17"/>
      <c r="C598" s="17"/>
      <c r="D598" s="18"/>
      <c r="E598" s="18"/>
      <c r="F598" s="17"/>
      <c r="G598" s="18"/>
      <c r="H598" s="18"/>
      <c r="I598" s="18"/>
      <c r="J598" s="15"/>
      <c r="K598" s="37"/>
      <c r="L598" s="47"/>
      <c r="M598" s="47"/>
      <c r="N598" s="263"/>
      <c r="O598" s="17"/>
      <c r="P598" s="18"/>
    </row>
    <row r="599" spans="1:16" ht="15.75" customHeight="1" x14ac:dyDescent="0.25">
      <c r="A599" s="18"/>
      <c r="B599" s="17"/>
      <c r="C599" s="17"/>
      <c r="D599" s="18"/>
      <c r="E599" s="18"/>
      <c r="F599" s="17"/>
      <c r="G599" s="18"/>
      <c r="H599" s="18"/>
      <c r="I599" s="18"/>
      <c r="J599" s="15"/>
      <c r="K599" s="37"/>
      <c r="L599" s="47"/>
      <c r="M599" s="47"/>
      <c r="N599" s="263"/>
      <c r="O599" s="17"/>
      <c r="P599" s="18"/>
    </row>
    <row r="600" spans="1:16" ht="15.75" customHeight="1" x14ac:dyDescent="0.25">
      <c r="A600" s="18"/>
      <c r="B600" s="17"/>
      <c r="C600" s="17"/>
      <c r="D600" s="18"/>
      <c r="E600" s="18"/>
      <c r="F600" s="17"/>
      <c r="G600" s="18"/>
      <c r="H600" s="18"/>
      <c r="I600" s="18"/>
      <c r="J600" s="15"/>
      <c r="K600" s="37"/>
      <c r="L600" s="47"/>
      <c r="M600" s="47"/>
      <c r="N600" s="263"/>
      <c r="O600" s="17"/>
      <c r="P600" s="18"/>
    </row>
    <row r="601" spans="1:16" ht="15.75" customHeight="1" x14ac:dyDescent="0.25">
      <c r="A601" s="18"/>
      <c r="B601" s="17"/>
      <c r="C601" s="17"/>
      <c r="D601" s="18"/>
      <c r="E601" s="18"/>
      <c r="F601" s="17"/>
      <c r="G601" s="18"/>
      <c r="H601" s="18"/>
      <c r="I601" s="18"/>
      <c r="J601" s="15"/>
      <c r="K601" s="37"/>
      <c r="L601" s="47"/>
      <c r="M601" s="47"/>
      <c r="N601" s="263"/>
      <c r="O601" s="17"/>
      <c r="P601" s="18"/>
    </row>
    <row r="602" spans="1:16" ht="15.75" customHeight="1" x14ac:dyDescent="0.25">
      <c r="A602" s="18"/>
      <c r="B602" s="17"/>
      <c r="C602" s="17"/>
      <c r="D602" s="18"/>
      <c r="E602" s="18"/>
      <c r="F602" s="17"/>
      <c r="G602" s="18"/>
      <c r="H602" s="18"/>
      <c r="I602" s="18"/>
      <c r="J602" s="15"/>
      <c r="K602" s="37"/>
      <c r="L602" s="47"/>
      <c r="M602" s="47"/>
      <c r="N602" s="263"/>
      <c r="O602" s="17"/>
      <c r="P602" s="18"/>
    </row>
    <row r="603" spans="1:16" ht="15.75" customHeight="1" x14ac:dyDescent="0.25">
      <c r="A603" s="18"/>
      <c r="B603" s="17"/>
      <c r="C603" s="17"/>
      <c r="D603" s="18"/>
      <c r="E603" s="18"/>
      <c r="F603" s="17"/>
      <c r="G603" s="18"/>
      <c r="H603" s="18"/>
      <c r="I603" s="18"/>
      <c r="J603" s="15"/>
      <c r="K603" s="37"/>
      <c r="L603" s="47"/>
      <c r="M603" s="47"/>
      <c r="N603" s="263"/>
      <c r="O603" s="17"/>
      <c r="P603" s="18"/>
    </row>
    <row r="604" spans="1:16" ht="15.75" customHeight="1" x14ac:dyDescent="0.25">
      <c r="A604" s="18"/>
      <c r="B604" s="17"/>
      <c r="C604" s="17"/>
      <c r="D604" s="18"/>
      <c r="E604" s="18"/>
      <c r="F604" s="17"/>
      <c r="G604" s="18"/>
      <c r="H604" s="18"/>
      <c r="I604" s="18"/>
      <c r="J604" s="15"/>
      <c r="K604" s="37"/>
      <c r="L604" s="47"/>
      <c r="M604" s="47"/>
      <c r="N604" s="263"/>
      <c r="O604" s="17"/>
      <c r="P604" s="18"/>
    </row>
    <row r="605" spans="1:16" ht="15.75" customHeight="1" x14ac:dyDescent="0.25">
      <c r="A605" s="18"/>
      <c r="B605" s="17"/>
      <c r="C605" s="17"/>
      <c r="D605" s="18"/>
      <c r="E605" s="18"/>
      <c r="F605" s="17"/>
      <c r="G605" s="18"/>
      <c r="H605" s="18"/>
      <c r="I605" s="18"/>
      <c r="J605" s="15"/>
      <c r="K605" s="37"/>
      <c r="L605" s="47"/>
      <c r="M605" s="47"/>
      <c r="N605" s="263"/>
      <c r="O605" s="17"/>
      <c r="P605" s="18"/>
    </row>
    <row r="606" spans="1:16" ht="15.75" customHeight="1" x14ac:dyDescent="0.25">
      <c r="A606" s="18"/>
      <c r="B606" s="17"/>
      <c r="C606" s="17"/>
      <c r="D606" s="18"/>
      <c r="E606" s="18"/>
      <c r="F606" s="17"/>
      <c r="G606" s="18"/>
      <c r="H606" s="18"/>
      <c r="I606" s="18"/>
      <c r="J606" s="15"/>
      <c r="K606" s="37"/>
      <c r="L606" s="47"/>
      <c r="M606" s="47"/>
      <c r="N606" s="263"/>
      <c r="O606" s="17"/>
      <c r="P606" s="18"/>
    </row>
    <row r="607" spans="1:16" ht="15.75" customHeight="1" x14ac:dyDescent="0.25">
      <c r="A607" s="18"/>
      <c r="B607" s="17"/>
      <c r="C607" s="17"/>
      <c r="D607" s="18"/>
      <c r="E607" s="18"/>
      <c r="F607" s="17"/>
      <c r="G607" s="18"/>
      <c r="H607" s="18"/>
      <c r="I607" s="18"/>
      <c r="J607" s="15"/>
      <c r="K607" s="37"/>
      <c r="L607" s="47"/>
      <c r="M607" s="47"/>
      <c r="N607" s="263"/>
      <c r="O607" s="17"/>
      <c r="P607" s="18"/>
    </row>
    <row r="608" spans="1:16" ht="15.75" customHeight="1" x14ac:dyDescent="0.25">
      <c r="A608" s="18"/>
      <c r="B608" s="17"/>
      <c r="C608" s="17"/>
      <c r="D608" s="18"/>
      <c r="E608" s="18"/>
      <c r="F608" s="17"/>
      <c r="G608" s="18"/>
      <c r="H608" s="18"/>
      <c r="I608" s="18"/>
      <c r="J608" s="15"/>
      <c r="K608" s="37"/>
      <c r="L608" s="47"/>
      <c r="M608" s="47"/>
      <c r="N608" s="263"/>
      <c r="O608" s="17"/>
      <c r="P608" s="18"/>
    </row>
    <row r="609" spans="1:16" ht="15.75" customHeight="1" x14ac:dyDescent="0.25">
      <c r="A609" s="18"/>
      <c r="B609" s="17"/>
      <c r="C609" s="17"/>
      <c r="D609" s="18"/>
      <c r="E609" s="18"/>
      <c r="F609" s="17"/>
      <c r="G609" s="18"/>
      <c r="H609" s="18"/>
      <c r="I609" s="18"/>
      <c r="J609" s="15"/>
      <c r="K609" s="37"/>
      <c r="L609" s="47"/>
      <c r="M609" s="47"/>
      <c r="N609" s="263"/>
      <c r="O609" s="17"/>
      <c r="P609" s="18"/>
    </row>
    <row r="610" spans="1:16" ht="15.75" customHeight="1" x14ac:dyDescent="0.25">
      <c r="A610" s="18"/>
      <c r="B610" s="17"/>
      <c r="C610" s="17"/>
      <c r="D610" s="18"/>
      <c r="E610" s="18"/>
      <c r="F610" s="17"/>
      <c r="G610" s="18"/>
      <c r="H610" s="18"/>
      <c r="I610" s="18"/>
      <c r="J610" s="15"/>
      <c r="K610" s="37"/>
      <c r="L610" s="47"/>
      <c r="M610" s="47"/>
      <c r="N610" s="263"/>
      <c r="O610" s="17"/>
      <c r="P610" s="18"/>
    </row>
    <row r="611" spans="1:16" ht="15.75" customHeight="1" x14ac:dyDescent="0.25">
      <c r="A611" s="18"/>
      <c r="B611" s="17"/>
      <c r="C611" s="17"/>
      <c r="D611" s="18"/>
      <c r="E611" s="18"/>
      <c r="F611" s="17"/>
      <c r="G611" s="18"/>
      <c r="H611" s="18"/>
      <c r="I611" s="18"/>
      <c r="J611" s="15"/>
      <c r="K611" s="37"/>
      <c r="L611" s="47"/>
      <c r="M611" s="47"/>
      <c r="N611" s="263"/>
      <c r="O611" s="17"/>
      <c r="P611" s="18"/>
    </row>
    <row r="612" spans="1:16" ht="15.75" customHeight="1" x14ac:dyDescent="0.25">
      <c r="A612" s="18"/>
      <c r="B612" s="17"/>
      <c r="C612" s="17"/>
      <c r="D612" s="18"/>
      <c r="E612" s="18"/>
      <c r="F612" s="17"/>
      <c r="G612" s="18"/>
      <c r="H612" s="18"/>
      <c r="I612" s="18"/>
      <c r="J612" s="15"/>
      <c r="K612" s="37"/>
      <c r="L612" s="47"/>
      <c r="M612" s="47"/>
      <c r="N612" s="263"/>
      <c r="O612" s="17"/>
      <c r="P612" s="18"/>
    </row>
    <row r="613" spans="1:16" ht="15.75" customHeight="1" x14ac:dyDescent="0.25">
      <c r="A613" s="18"/>
      <c r="B613" s="17"/>
      <c r="C613" s="17"/>
      <c r="D613" s="18"/>
      <c r="E613" s="18"/>
      <c r="F613" s="17"/>
      <c r="G613" s="18"/>
      <c r="H613" s="18"/>
      <c r="I613" s="18"/>
      <c r="J613" s="15"/>
      <c r="K613" s="37"/>
      <c r="L613" s="47"/>
      <c r="M613" s="47"/>
      <c r="N613" s="263"/>
      <c r="O613" s="17"/>
      <c r="P613" s="18"/>
    </row>
    <row r="614" spans="1:16" ht="15.75" customHeight="1" x14ac:dyDescent="0.25">
      <c r="A614" s="18"/>
      <c r="B614" s="17"/>
      <c r="C614" s="17"/>
      <c r="D614" s="18"/>
      <c r="E614" s="18"/>
      <c r="F614" s="17"/>
      <c r="G614" s="18"/>
      <c r="H614" s="18"/>
      <c r="I614" s="18"/>
      <c r="J614" s="15"/>
      <c r="K614" s="37"/>
      <c r="L614" s="47"/>
      <c r="M614" s="47"/>
      <c r="N614" s="263"/>
      <c r="O614" s="17"/>
      <c r="P614" s="18"/>
    </row>
    <row r="615" spans="1:16" ht="15.75" customHeight="1" x14ac:dyDescent="0.25">
      <c r="A615" s="18"/>
      <c r="B615" s="17"/>
      <c r="C615" s="17"/>
      <c r="D615" s="18"/>
      <c r="E615" s="18"/>
      <c r="F615" s="17"/>
      <c r="G615" s="18"/>
      <c r="H615" s="18"/>
      <c r="I615" s="18"/>
      <c r="J615" s="15"/>
      <c r="K615" s="37"/>
      <c r="L615" s="47"/>
      <c r="M615" s="47"/>
      <c r="N615" s="263"/>
      <c r="O615" s="17"/>
      <c r="P615" s="18"/>
    </row>
    <row r="616" spans="1:16" ht="15.75" customHeight="1" x14ac:dyDescent="0.25">
      <c r="A616" s="18"/>
      <c r="B616" s="17"/>
      <c r="C616" s="17"/>
      <c r="D616" s="18"/>
      <c r="E616" s="18"/>
      <c r="F616" s="17"/>
      <c r="G616" s="18"/>
      <c r="H616" s="18"/>
      <c r="I616" s="18"/>
      <c r="J616" s="15"/>
      <c r="K616" s="37"/>
      <c r="L616" s="47"/>
      <c r="M616" s="47"/>
      <c r="N616" s="263"/>
      <c r="O616" s="17"/>
      <c r="P616" s="18"/>
    </row>
    <row r="617" spans="1:16" ht="15.75" customHeight="1" x14ac:dyDescent="0.25">
      <c r="A617" s="18"/>
      <c r="B617" s="17"/>
      <c r="C617" s="17"/>
      <c r="D617" s="18"/>
      <c r="E617" s="18"/>
      <c r="F617" s="17"/>
      <c r="G617" s="18"/>
      <c r="H617" s="18"/>
      <c r="I617" s="18"/>
      <c r="J617" s="15"/>
      <c r="K617" s="37"/>
      <c r="L617" s="47"/>
      <c r="M617" s="47"/>
      <c r="N617" s="263"/>
      <c r="O617" s="17"/>
      <c r="P617" s="18"/>
    </row>
    <row r="618" spans="1:16" ht="15.75" customHeight="1" x14ac:dyDescent="0.25">
      <c r="A618" s="18"/>
      <c r="B618" s="17"/>
      <c r="C618" s="17"/>
      <c r="D618" s="18"/>
      <c r="E618" s="18"/>
      <c r="F618" s="17"/>
      <c r="G618" s="18"/>
      <c r="H618" s="18"/>
      <c r="I618" s="18"/>
      <c r="J618" s="15"/>
      <c r="K618" s="37"/>
      <c r="L618" s="47"/>
      <c r="M618" s="47"/>
      <c r="N618" s="263"/>
      <c r="O618" s="17"/>
      <c r="P618" s="18"/>
    </row>
    <row r="619" spans="1:16" ht="15.75" customHeight="1" x14ac:dyDescent="0.25">
      <c r="A619" s="18"/>
      <c r="B619" s="17"/>
      <c r="C619" s="17"/>
      <c r="D619" s="18"/>
      <c r="E619" s="18"/>
      <c r="F619" s="17"/>
      <c r="G619" s="18"/>
      <c r="H619" s="18"/>
      <c r="I619" s="18"/>
      <c r="J619" s="15"/>
      <c r="K619" s="37"/>
      <c r="L619" s="47"/>
      <c r="M619" s="47"/>
      <c r="N619" s="263"/>
      <c r="O619" s="17"/>
      <c r="P619" s="18"/>
    </row>
    <row r="620" spans="1:16" ht="15.75" customHeight="1" x14ac:dyDescent="0.25">
      <c r="A620" s="18"/>
      <c r="B620" s="17"/>
      <c r="C620" s="17"/>
      <c r="D620" s="18"/>
      <c r="E620" s="18"/>
      <c r="F620" s="17"/>
      <c r="G620" s="18"/>
      <c r="H620" s="18"/>
      <c r="I620" s="18"/>
      <c r="J620" s="15"/>
      <c r="K620" s="37"/>
      <c r="L620" s="47"/>
      <c r="M620" s="47"/>
      <c r="N620" s="263"/>
      <c r="O620" s="17"/>
      <c r="P620" s="18"/>
    </row>
    <row r="621" spans="1:16" ht="15.75" customHeight="1" x14ac:dyDescent="0.25">
      <c r="A621" s="18"/>
      <c r="B621" s="17"/>
      <c r="C621" s="17"/>
      <c r="D621" s="18"/>
      <c r="E621" s="18"/>
      <c r="F621" s="17"/>
      <c r="G621" s="18"/>
      <c r="H621" s="18"/>
      <c r="I621" s="18"/>
      <c r="J621" s="15"/>
      <c r="K621" s="37"/>
      <c r="L621" s="47"/>
      <c r="M621" s="47"/>
      <c r="N621" s="263"/>
      <c r="O621" s="17"/>
      <c r="P621" s="18"/>
    </row>
    <row r="622" spans="1:16" ht="15.75" customHeight="1" x14ac:dyDescent="0.25">
      <c r="A622" s="18"/>
      <c r="B622" s="17"/>
      <c r="C622" s="17"/>
      <c r="D622" s="18"/>
      <c r="E622" s="18"/>
      <c r="F622" s="17"/>
      <c r="G622" s="18"/>
      <c r="H622" s="18"/>
      <c r="I622" s="18"/>
      <c r="J622" s="15"/>
      <c r="K622" s="37"/>
      <c r="L622" s="47"/>
      <c r="M622" s="47"/>
      <c r="N622" s="263"/>
      <c r="O622" s="17"/>
      <c r="P622" s="18"/>
    </row>
    <row r="623" spans="1:16" ht="15.75" customHeight="1" x14ac:dyDescent="0.25">
      <c r="A623" s="18"/>
      <c r="B623" s="17"/>
      <c r="C623" s="17"/>
      <c r="D623" s="18"/>
      <c r="E623" s="18"/>
      <c r="F623" s="17"/>
      <c r="G623" s="18"/>
      <c r="H623" s="18"/>
      <c r="I623" s="18"/>
      <c r="J623" s="15"/>
      <c r="K623" s="37"/>
      <c r="L623" s="47"/>
      <c r="M623" s="47"/>
      <c r="N623" s="263"/>
      <c r="O623" s="17"/>
      <c r="P623" s="18"/>
    </row>
    <row r="624" spans="1:16" ht="15.75" customHeight="1" x14ac:dyDescent="0.25">
      <c r="A624" s="18"/>
      <c r="B624" s="17"/>
      <c r="C624" s="17"/>
      <c r="D624" s="18"/>
      <c r="E624" s="18"/>
      <c r="F624" s="17"/>
      <c r="G624" s="18"/>
      <c r="H624" s="18"/>
      <c r="I624" s="18"/>
      <c r="J624" s="15"/>
      <c r="K624" s="37"/>
      <c r="L624" s="47"/>
      <c r="M624" s="47"/>
      <c r="N624" s="263"/>
      <c r="O624" s="17"/>
      <c r="P624" s="18"/>
    </row>
    <row r="625" spans="1:16" ht="15.75" customHeight="1" x14ac:dyDescent="0.25">
      <c r="A625" s="18"/>
      <c r="B625" s="17"/>
      <c r="C625" s="17"/>
      <c r="D625" s="18"/>
      <c r="E625" s="18"/>
      <c r="F625" s="17"/>
      <c r="G625" s="18"/>
      <c r="H625" s="18"/>
      <c r="I625" s="18"/>
      <c r="J625" s="15"/>
      <c r="K625" s="37"/>
      <c r="L625" s="47"/>
      <c r="M625" s="47"/>
      <c r="N625" s="263"/>
      <c r="O625" s="17"/>
      <c r="P625" s="18"/>
    </row>
    <row r="626" spans="1:16" ht="15.75" customHeight="1" x14ac:dyDescent="0.25">
      <c r="A626" s="18"/>
      <c r="B626" s="17"/>
      <c r="C626" s="17"/>
      <c r="D626" s="18"/>
      <c r="E626" s="18"/>
      <c r="F626" s="17"/>
      <c r="G626" s="18"/>
      <c r="H626" s="18"/>
      <c r="I626" s="18"/>
      <c r="J626" s="15"/>
      <c r="K626" s="37"/>
      <c r="L626" s="47"/>
      <c r="M626" s="47"/>
      <c r="N626" s="263"/>
      <c r="O626" s="17"/>
      <c r="P626" s="18"/>
    </row>
    <row r="627" spans="1:16" ht="15.75" customHeight="1" x14ac:dyDescent="0.25">
      <c r="A627" s="18"/>
      <c r="B627" s="17"/>
      <c r="C627" s="17"/>
      <c r="D627" s="18"/>
      <c r="E627" s="18"/>
      <c r="F627" s="17"/>
      <c r="G627" s="18"/>
      <c r="H627" s="18"/>
      <c r="I627" s="18"/>
      <c r="J627" s="15"/>
      <c r="K627" s="37"/>
      <c r="L627" s="47"/>
      <c r="M627" s="47"/>
      <c r="N627" s="263"/>
      <c r="O627" s="17"/>
      <c r="P627" s="18"/>
    </row>
    <row r="628" spans="1:16" ht="15.75" customHeight="1" x14ac:dyDescent="0.25">
      <c r="A628" s="18"/>
      <c r="B628" s="17"/>
      <c r="C628" s="17"/>
      <c r="D628" s="18"/>
      <c r="E628" s="18"/>
      <c r="F628" s="17"/>
      <c r="G628" s="18"/>
      <c r="H628" s="18"/>
      <c r="I628" s="18"/>
      <c r="J628" s="15"/>
      <c r="K628" s="37"/>
      <c r="L628" s="47"/>
      <c r="M628" s="47"/>
      <c r="N628" s="263"/>
      <c r="O628" s="17"/>
      <c r="P628" s="18"/>
    </row>
    <row r="629" spans="1:16" ht="15.75" customHeight="1" x14ac:dyDescent="0.25">
      <c r="A629" s="18"/>
      <c r="B629" s="17"/>
      <c r="C629" s="17"/>
      <c r="D629" s="18"/>
      <c r="E629" s="18"/>
      <c r="F629" s="17"/>
      <c r="G629" s="18"/>
      <c r="H629" s="18"/>
      <c r="I629" s="18"/>
      <c r="J629" s="15"/>
      <c r="K629" s="37"/>
      <c r="L629" s="47"/>
      <c r="M629" s="47"/>
      <c r="N629" s="263"/>
      <c r="O629" s="17"/>
      <c r="P629" s="18"/>
    </row>
    <row r="630" spans="1:16" ht="15.75" customHeight="1" x14ac:dyDescent="0.25">
      <c r="A630" s="18"/>
      <c r="B630" s="17"/>
      <c r="C630" s="17"/>
      <c r="D630" s="18"/>
      <c r="E630" s="18"/>
      <c r="F630" s="17"/>
      <c r="G630" s="18"/>
      <c r="H630" s="18"/>
      <c r="I630" s="18"/>
      <c r="J630" s="15"/>
      <c r="K630" s="37"/>
      <c r="L630" s="47"/>
      <c r="M630" s="47"/>
      <c r="N630" s="263"/>
      <c r="O630" s="17"/>
      <c r="P630" s="18"/>
    </row>
    <row r="631" spans="1:16" ht="15.75" customHeight="1" x14ac:dyDescent="0.25">
      <c r="A631" s="18"/>
      <c r="B631" s="17"/>
      <c r="C631" s="17"/>
      <c r="D631" s="18"/>
      <c r="E631" s="18"/>
      <c r="F631" s="17"/>
      <c r="G631" s="18"/>
      <c r="H631" s="18"/>
      <c r="I631" s="18"/>
      <c r="J631" s="15"/>
      <c r="K631" s="37"/>
      <c r="L631" s="47"/>
      <c r="M631" s="47"/>
      <c r="N631" s="263"/>
      <c r="O631" s="17"/>
      <c r="P631" s="18"/>
    </row>
  </sheetData>
  <autoFilter ref="A1:P156" xr:uid="{00000000-0001-0000-0300-000000000000}"/>
  <mergeCells count="33">
    <mergeCell ref="O31:O35"/>
    <mergeCell ref="P31:P35"/>
    <mergeCell ref="H36:H40"/>
    <mergeCell ref="J36:J40"/>
    <mergeCell ref="K36:K40"/>
    <mergeCell ref="L36:L40"/>
    <mergeCell ref="O36:O40"/>
    <mergeCell ref="H31:H35"/>
    <mergeCell ref="J31:J35"/>
    <mergeCell ref="K31:K35"/>
    <mergeCell ref="L31:L35"/>
    <mergeCell ref="B36:B40"/>
    <mergeCell ref="D36:D40"/>
    <mergeCell ref="E36:E40"/>
    <mergeCell ref="F36:F40"/>
    <mergeCell ref="G36:G40"/>
    <mergeCell ref="B31:B35"/>
    <mergeCell ref="D31:D35"/>
    <mergeCell ref="E31:E35"/>
    <mergeCell ref="F31:F35"/>
    <mergeCell ref="G31:G35"/>
    <mergeCell ref="O25:O30"/>
    <mergeCell ref="P25:P30"/>
    <mergeCell ref="B25:B30"/>
    <mergeCell ref="D25:D30"/>
    <mergeCell ref="E25:E30"/>
    <mergeCell ref="F25:F30"/>
    <mergeCell ref="G25:G30"/>
    <mergeCell ref="H25:H30"/>
    <mergeCell ref="J25:J30"/>
    <mergeCell ref="K25:K30"/>
    <mergeCell ref="L25:L30"/>
    <mergeCell ref="M25:M30"/>
  </mergeCells>
  <pageMargins left="0.7" right="0.7" top="0.75" bottom="0.75" header="0" footer="0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6C380-EBF9-41F3-9CF6-2FE4D7FE36C2}">
  <dimension ref="C1:I6"/>
  <sheetViews>
    <sheetView topLeftCell="B1" workbookViewId="0">
      <selection activeCell="D4" sqref="D4"/>
    </sheetView>
  </sheetViews>
  <sheetFormatPr baseColWidth="10" defaultRowHeight="14.25" x14ac:dyDescent="0.2"/>
  <cols>
    <col min="2" max="2" width="19.875" customWidth="1"/>
    <col min="3" max="3" width="24.375" customWidth="1"/>
    <col min="7" max="7" width="9" customWidth="1"/>
    <col min="8" max="8" width="11" customWidth="1"/>
    <col min="9" max="9" width="7.75" customWidth="1"/>
  </cols>
  <sheetData>
    <row r="1" spans="3:9" x14ac:dyDescent="0.2">
      <c r="C1" s="308" t="s">
        <v>1855</v>
      </c>
      <c r="D1" s="308" t="s">
        <v>1856</v>
      </c>
      <c r="E1" s="308" t="s">
        <v>1857</v>
      </c>
    </row>
    <row r="2" spans="3:9" x14ac:dyDescent="0.2">
      <c r="C2" s="309" t="s">
        <v>1845</v>
      </c>
      <c r="D2" s="309" t="s">
        <v>1846</v>
      </c>
      <c r="E2" s="311" t="s">
        <v>1852</v>
      </c>
      <c r="F2" s="310" t="s">
        <v>1851</v>
      </c>
    </row>
    <row r="3" spans="3:9" x14ac:dyDescent="0.2">
      <c r="C3" s="309" t="s">
        <v>1847</v>
      </c>
      <c r="D3" s="309" t="s">
        <v>1848</v>
      </c>
      <c r="E3" s="311" t="s">
        <v>1853</v>
      </c>
      <c r="F3" s="310" t="s">
        <v>1858</v>
      </c>
    </row>
    <row r="4" spans="3:9" x14ac:dyDescent="0.2">
      <c r="C4" s="309" t="s">
        <v>737</v>
      </c>
      <c r="D4" s="309" t="s">
        <v>1328</v>
      </c>
      <c r="E4" s="311" t="s">
        <v>1854</v>
      </c>
      <c r="F4" s="310" t="s">
        <v>1859</v>
      </c>
      <c r="G4" s="309" t="s">
        <v>1861</v>
      </c>
      <c r="H4" s="313">
        <v>45868</v>
      </c>
      <c r="I4" s="310" t="s">
        <v>1862</v>
      </c>
    </row>
    <row r="5" spans="3:9" ht="28.5" x14ac:dyDescent="0.2">
      <c r="C5" s="309" t="s">
        <v>1849</v>
      </c>
      <c r="D5" s="309" t="s">
        <v>1655</v>
      </c>
      <c r="E5" s="309">
        <v>2312251208</v>
      </c>
      <c r="F5" s="312" t="s">
        <v>1860</v>
      </c>
      <c r="G5" s="309" t="s">
        <v>1799</v>
      </c>
      <c r="H5" s="313">
        <v>45985</v>
      </c>
      <c r="I5" s="310" t="s">
        <v>1863</v>
      </c>
    </row>
    <row r="6" spans="3:9" x14ac:dyDescent="0.2">
      <c r="C6" s="309" t="s">
        <v>678</v>
      </c>
      <c r="D6" s="309" t="s">
        <v>1850</v>
      </c>
      <c r="E6" s="309">
        <v>2401250045</v>
      </c>
      <c r="F6" s="310" t="s">
        <v>1858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8"/>
  <dimension ref="A1:C16"/>
  <sheetViews>
    <sheetView workbookViewId="0">
      <selection activeCell="A6" sqref="A6"/>
    </sheetView>
  </sheetViews>
  <sheetFormatPr baseColWidth="10" defaultRowHeight="14.25" x14ac:dyDescent="0.2"/>
  <cols>
    <col min="1" max="1" width="20.375" customWidth="1"/>
    <col min="2" max="2" width="21.25" bestFit="1" customWidth="1"/>
    <col min="3" max="3" width="27.5" bestFit="1" customWidth="1"/>
  </cols>
  <sheetData>
    <row r="1" spans="1:3" x14ac:dyDescent="0.2">
      <c r="A1" t="s">
        <v>372</v>
      </c>
      <c r="B1" t="s">
        <v>385</v>
      </c>
      <c r="C1" t="s">
        <v>386</v>
      </c>
    </row>
    <row r="2" spans="1:3" x14ac:dyDescent="0.2">
      <c r="A2" t="s">
        <v>398</v>
      </c>
      <c r="B2" t="s">
        <v>384</v>
      </c>
      <c r="C2" t="s">
        <v>388</v>
      </c>
    </row>
    <row r="3" spans="1:3" x14ac:dyDescent="0.2">
      <c r="A3" t="s">
        <v>400</v>
      </c>
      <c r="B3" t="s">
        <v>26</v>
      </c>
      <c r="C3" t="s">
        <v>387</v>
      </c>
    </row>
    <row r="4" spans="1:3" x14ac:dyDescent="0.2">
      <c r="A4" t="s">
        <v>399</v>
      </c>
      <c r="B4" t="s">
        <v>390</v>
      </c>
      <c r="C4" t="s">
        <v>389</v>
      </c>
    </row>
    <row r="5" spans="1:3" x14ac:dyDescent="0.2">
      <c r="A5" t="s">
        <v>401</v>
      </c>
      <c r="B5" t="s">
        <v>34</v>
      </c>
    </row>
    <row r="6" spans="1:3" x14ac:dyDescent="0.2">
      <c r="B6" t="s">
        <v>27</v>
      </c>
    </row>
    <row r="7" spans="1:3" x14ac:dyDescent="0.2">
      <c r="B7" t="s">
        <v>391</v>
      </c>
    </row>
    <row r="8" spans="1:3" x14ac:dyDescent="0.2">
      <c r="B8" t="s">
        <v>39</v>
      </c>
    </row>
    <row r="9" spans="1:3" x14ac:dyDescent="0.2">
      <c r="B9" t="s">
        <v>383</v>
      </c>
    </row>
    <row r="10" spans="1:3" x14ac:dyDescent="0.2">
      <c r="B10" t="s">
        <v>392</v>
      </c>
    </row>
    <row r="11" spans="1:3" x14ac:dyDescent="0.2">
      <c r="B11" t="s">
        <v>393</v>
      </c>
    </row>
    <row r="12" spans="1:3" x14ac:dyDescent="0.2">
      <c r="B12" t="s">
        <v>394</v>
      </c>
    </row>
    <row r="13" spans="1:3" x14ac:dyDescent="0.2">
      <c r="B13" t="s">
        <v>395</v>
      </c>
    </row>
    <row r="14" spans="1:3" x14ac:dyDescent="0.2">
      <c r="B14" t="s">
        <v>378</v>
      </c>
    </row>
    <row r="15" spans="1:3" x14ac:dyDescent="0.2">
      <c r="B15" t="s">
        <v>396</v>
      </c>
    </row>
    <row r="16" spans="1:3" x14ac:dyDescent="0.2">
      <c r="B16" t="s">
        <v>397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9"/>
  <dimension ref="A1:B1000"/>
  <sheetViews>
    <sheetView workbookViewId="0"/>
  </sheetViews>
  <sheetFormatPr baseColWidth="10" defaultColWidth="12.625" defaultRowHeight="15" customHeight="1" x14ac:dyDescent="0.2"/>
  <cols>
    <col min="1" max="1" width="14.625" customWidth="1"/>
    <col min="2" max="26" width="9.375" customWidth="1"/>
  </cols>
  <sheetData>
    <row r="1" spans="1:2" x14ac:dyDescent="0.25">
      <c r="A1" s="38" t="s">
        <v>372</v>
      </c>
      <c r="B1" s="39" t="s">
        <v>17</v>
      </c>
    </row>
    <row r="2" spans="1:2" x14ac:dyDescent="0.25">
      <c r="A2" s="40" t="s">
        <v>377</v>
      </c>
      <c r="B2" s="15" t="s">
        <v>25</v>
      </c>
    </row>
    <row r="3" spans="1:2" x14ac:dyDescent="0.25">
      <c r="A3" s="40" t="s">
        <v>377</v>
      </c>
      <c r="B3" s="15" t="s">
        <v>29</v>
      </c>
    </row>
    <row r="4" spans="1:2" x14ac:dyDescent="0.25">
      <c r="A4" s="40" t="s">
        <v>378</v>
      </c>
      <c r="B4" s="15" t="s">
        <v>31</v>
      </c>
    </row>
    <row r="5" spans="1:2" x14ac:dyDescent="0.25">
      <c r="A5" s="40" t="s">
        <v>376</v>
      </c>
      <c r="B5" s="15" t="s">
        <v>28</v>
      </c>
    </row>
    <row r="6" spans="1:2" x14ac:dyDescent="0.25">
      <c r="B6" s="15" t="s">
        <v>32</v>
      </c>
    </row>
    <row r="7" spans="1:2" x14ac:dyDescent="0.25">
      <c r="B7" s="15" t="s">
        <v>30</v>
      </c>
    </row>
    <row r="8" spans="1:2" x14ac:dyDescent="0.25">
      <c r="B8" s="15" t="s">
        <v>40</v>
      </c>
    </row>
    <row r="9" spans="1:2" x14ac:dyDescent="0.25">
      <c r="B9" s="15" t="s">
        <v>41</v>
      </c>
    </row>
    <row r="10" spans="1:2" x14ac:dyDescent="0.25">
      <c r="B10" s="15" t="s">
        <v>42</v>
      </c>
    </row>
    <row r="11" spans="1:2" x14ac:dyDescent="0.25">
      <c r="B11" s="15" t="s">
        <v>43</v>
      </c>
    </row>
    <row r="12" spans="1:2" x14ac:dyDescent="0.25">
      <c r="B12" s="15" t="s">
        <v>44</v>
      </c>
    </row>
    <row r="13" spans="1:2" x14ac:dyDescent="0.25">
      <c r="B13" s="15" t="s">
        <v>45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1</vt:i4>
      </vt:variant>
    </vt:vector>
  </HeadingPairs>
  <TitlesOfParts>
    <vt:vector size="11" baseType="lpstr">
      <vt:lpstr>PAGO INSPECTOR(PI)</vt:lpstr>
      <vt:lpstr>Hoja1</vt:lpstr>
      <vt:lpstr>Gastos Operativos GO 2026</vt:lpstr>
      <vt:lpstr>Solicitud interna(SI)</vt:lpstr>
      <vt:lpstr>DEVOLUCION</vt:lpstr>
      <vt:lpstr>GO 2025</vt:lpstr>
      <vt:lpstr>SI 2025</vt:lpstr>
      <vt:lpstr>Hoja4</vt:lpstr>
      <vt:lpstr>Hoja3</vt:lpstr>
      <vt:lpstr>Hoja2</vt:lpstr>
      <vt:lpstr>'Gastos Operativos GO 2026'!Área_de_impresión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Fernández Garcia</dc:creator>
  <cp:lastModifiedBy>Karola Calderón</cp:lastModifiedBy>
  <cp:lastPrinted>2026-08-12T19:08:29Z</cp:lastPrinted>
  <dcterms:created xsi:type="dcterms:W3CDTF">2019-11-18T18:42:47Z</dcterms:created>
  <dcterms:modified xsi:type="dcterms:W3CDTF">2026-08-19T23:40:01Z</dcterms:modified>
</cp:coreProperties>
</file>